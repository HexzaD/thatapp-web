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l Ghoul\Downloads\"/>
    </mc:Choice>
  </mc:AlternateContent>
  <xr:revisionPtr revIDLastSave="0" documentId="13_ncr:1_{A35E6ACD-8AB7-47F9-80FF-B8940F9C4F2F}" xr6:coauthVersionLast="47" xr6:coauthVersionMax="47" xr10:uidLastSave="{00000000-0000-0000-0000-000000000000}"/>
  <bookViews>
    <workbookView xWindow="-120" yWindow="-120" windowWidth="29040" windowHeight="15720" xr2:uid="{00000000-000D-0000-FFFF-FFFF00000000}"/>
  </bookViews>
  <sheets>
    <sheet name="PERSONAL BUDGET" sheetId="1" r:id="rId1"/>
  </sheets>
  <definedNames>
    <definedName name="LastCol">COUNTA('PERSONAL BUDGET'!$4:$4)+1</definedName>
    <definedName name="PrintArea_SET">OFFSET('PERSONAL BUDGET'!$B$2,,,MATCH(REPT("z",255),'PERSONAL BUDGET'!$B:$B),LastCol)</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tc={8F2805CE-97DC-4A23-8B09-B99F976F2808}</author>
    <author>tc={977F23E5-2F20-4E1A-8AFE-7F8DEF11DB23}</author>
    <author>tc={109AE68C-200B-410C-9BF1-AFD8CD1FB621}</author>
    <author>Adil Ouchtati</author>
    <author>tc={A4110101-4170-4931-9E79-B6B592052B65}</author>
    <author>tc={3119A31B-C1A1-4F41-8303-8277740F99D1}</author>
    <author>tc={829F3E5C-B855-49A5-93C4-150967A2A619}</author>
    <author>tc={D7974DC5-096A-4953-8F13-89C343F98F79}</author>
    <author>tc={F280F5E8-8A41-4AAD-A954-DD42FBF363CA}</author>
    <author>tc={2C8C83A7-CF62-4CDA-A942-9291B09BAABA}</author>
    <author>tc={5C91EC0D-9D88-4C19-8F25-4A1A86B13AB4}</author>
    <author>tc={47FF754D-6736-4FE8-9C56-9C6D832637A7}</author>
    <author>tc={33D1FFD0-1FC1-40FD-8F8C-5A85031E91B2}</author>
    <author>tc={E22D3969-3FB3-42BB-A2DB-943B39B2A3F8}</author>
    <author>tc={2257069D-CCCB-4177-98B4-FDB7342DD9CD}</author>
    <author>tc={52900D6B-186E-44A3-B61F-965A66F3C5CD}</author>
    <author>tc={2B4647B7-985D-49A8-9EB5-166564115FEF}</author>
    <author>tc={4D39B671-DBA3-48DB-9437-22506D5A3DBF}</author>
    <author>tc={ACAD63A2-ACAE-4A83-AA40-1586059D0559}</author>
    <author>tc={23844D80-3D8A-45C9-B5B6-361F4A5CFA4E}</author>
    <author>tc={4FEEF43E-81E4-4D5A-BEC1-CB988714D22A}</author>
    <author>tc={368B648B-A171-484D-998D-27151F5562AC}</author>
    <author>tc={AC0E7CE7-7788-4C86-B894-4E32024567DB}</author>
    <author>tc={93FB8DC3-C189-4681-AE36-9D0EA2FABF96}</author>
    <author>tc={8499FC68-E8DA-419B-97C5-1A23557BAAF6}</author>
    <author>tc={0C218C77-F20F-493C-8689-42EED264BCA2}</author>
    <author>tc={75AA771B-3EB3-4A25-8BF6-DB9294099117}</author>
    <author>tc={A0ADE4A0-21A1-4A7C-B89A-95461550AD1B}</author>
    <author>tc={D27EC473-C785-41FE-9B3F-668C1493892D}</author>
    <author>tc={32FD9B70-8423-481A-8082-F183D0E22583}</author>
    <author>tc={4AE0E17C-59F2-4614-A190-88B89B7EFB7F}</author>
    <author>tc={54E89EC3-0723-437D-9C7E-1939DD77EF77}</author>
  </authors>
  <commentList>
    <comment ref="D10" authorId="0" shapeId="0" xr:uid="{8F2805CE-97DC-4A23-8B09-B99F976F2808}">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CRA+ desk tray +</t>
        </r>
      </text>
    </comment>
    <comment ref="E10" authorId="1" shapeId="0" xr:uid="{977F23E5-2F20-4E1A-8AFE-7F8DEF11DB23}">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Amer E-Transfer</t>
        </r>
      </text>
    </comment>
    <comment ref="M25" authorId="2" shapeId="0" xr:uid="{109AE68C-200B-410C-9BF1-AFD8CD1FB621}">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Corner Shelf </t>
        </r>
      </text>
    </comment>
    <comment ref="C31" authorId="3" shapeId="0" xr:uid="{BCDB1EE7-8891-4244-88B8-2003D6F8D1BA}">
      <text>
        <r>
          <rPr>
            <b/>
            <sz val="9"/>
            <color indexed="81"/>
            <rFont val="Tahoma"/>
            <charset val="1"/>
          </rPr>
          <t>Adil Ouchtati:</t>
        </r>
        <r>
          <rPr>
            <sz val="9"/>
            <color indexed="81"/>
            <rFont val="Tahoma"/>
            <charset val="1"/>
          </rPr>
          <t xml:space="preserve">
battery + oil change + uber charges 
</t>
        </r>
      </text>
    </comment>
    <comment ref="N31" authorId="4" shapeId="0" xr:uid="{A4110101-4170-4931-9E79-B6B592052B65}">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Winter tires
</t>
        </r>
      </text>
    </comment>
    <comment ref="D34" authorId="5" shapeId="0" xr:uid="{3119A31B-C1A1-4F41-8303-8277740F99D1}">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cable</t>
        </r>
      </text>
    </comment>
    <comment ref="F48" authorId="6" shapeId="0" xr:uid="{829F3E5C-B855-49A5-93C4-150967A2A619}">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Eye exam + glasses </t>
        </r>
      </text>
    </comment>
    <comment ref="D57" authorId="7" shapeId="0" xr:uid="{D7974DC5-096A-4953-8F13-89C343F98F79}">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2 x pro 9 </t>
        </r>
      </text>
    </comment>
    <comment ref="D64" authorId="8" shapeId="0" xr:uid="{F280F5E8-8A41-4AAD-A954-DD42FBF363CA}">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protein</t>
        </r>
      </text>
    </comment>
    <comment ref="F64" authorId="9" shapeId="0" xr:uid="{2C8C83A7-CF62-4CDA-A942-9291B09BAABA}">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Creatine</t>
        </r>
      </text>
    </comment>
    <comment ref="E69" authorId="10" shapeId="0" xr:uid="{5C91EC0D-9D88-4C19-8F25-4A1A86B13AB4}">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Ftart 3and louwled (adonis + lazar )</t>
        </r>
      </text>
    </comment>
    <comment ref="F73" authorId="11" shapeId="0" xr:uid="{47FF754D-6736-4FE8-9C56-9C6D832637A7}">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Guess jacket 
</t>
        </r>
      </text>
    </comment>
    <comment ref="F76" authorId="12" shapeId="0" xr:uid="{33D1FFD0-1FC1-40FD-8F8C-5A85031E91B2}">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Vpn
</t>
        </r>
      </text>
    </comment>
    <comment ref="C77" authorId="13" shapeId="0" xr:uid="{E22D3969-3FB3-42BB-A2DB-943B39B2A3F8}">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Earpods </t>
        </r>
      </text>
    </comment>
    <comment ref="E77" authorId="14" shapeId="0" xr:uid="{2257069D-CCCB-4177-98B4-FDB7342DD9CD}">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Air fryer 
Reply:
    9 pro case </t>
        </r>
      </text>
    </comment>
    <comment ref="F77" authorId="15" shapeId="0" xr:uid="{52900D6B-186E-44A3-B61F-965A66F3C5CD}">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misxeur + des moules + airfrayer silicone 
</t>
        </r>
      </text>
    </comment>
    <comment ref="G77" authorId="16" shapeId="0" xr:uid="{2B4647B7-985D-49A8-9EB5-166564115FEF}">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Valise</t>
        </r>
      </text>
    </comment>
    <comment ref="D81" authorId="17" shapeId="0" xr:uid="{4D39B671-DBA3-48DB-9437-22506D5A3DBF}">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crypto</t>
        </r>
      </text>
    </comment>
    <comment ref="D89" authorId="18" shapeId="0" xr:uid="{ACAD63A2-ACAE-4A83-AA40-1586059D0559}">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Rbc fees
</t>
        </r>
      </text>
    </comment>
    <comment ref="E89" authorId="19" shapeId="0" xr:uid="{23844D80-3D8A-45C9-B5B6-361F4A5CFA4E}">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tcf</t>
        </r>
      </text>
    </comment>
    <comment ref="L89" authorId="20" shapeId="0" xr:uid="{4FEEF43E-81E4-4D5A-BEC1-CB988714D22A}">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Laptop battery + parking 
Reply:
    + PC 
</t>
        </r>
      </text>
    </comment>
    <comment ref="M89" authorId="21" shapeId="0" xr:uid="{368B648B-A171-484D-998D-27151F5562AC}">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proton vpn 
Reply:
    disque dure </t>
        </r>
      </text>
    </comment>
    <comment ref="F90" authorId="22" shapeId="0" xr:uid="{AC0E7CE7-7788-4C86-B894-4E32024567DB}">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Ring+phones
</t>
        </r>
      </text>
    </comment>
    <comment ref="L90" authorId="23" shapeId="0" xr:uid="{93FB8DC3-C189-4681-AE36-9D0EA2FABF96}">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Lawyer </t>
        </r>
      </text>
    </comment>
    <comment ref="D91" authorId="24" shapeId="0" xr:uid="{8499FC68-E8DA-419B-97C5-1A23557BAAF6}">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KuCoin 
</t>
        </r>
      </text>
    </comment>
    <comment ref="F91" authorId="25" shapeId="0" xr:uid="{0C218C77-F20F-493C-8689-42EED264BCA2}">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TAX Yazan</t>
        </r>
      </text>
    </comment>
    <comment ref="L91" authorId="26" shapeId="0" xr:uid="{75AA771B-3EB3-4A25-8BF6-DB9294099117}">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Lawyer </t>
        </r>
      </text>
    </comment>
    <comment ref="M91" authorId="27" shapeId="0" xr:uid="{A0ADE4A0-21A1-4A7C-B89A-95461550AD1B}">
      <text>
        <r>
          <rPr>
            <sz val="10"/>
            <color theme="1" tint="0.14993743705557422"/>
            <rFont val="verdana"/>
            <family val="2"/>
            <scheme val="minor"/>
          </rPr>
          <t>[Threaded comment]
Your version of Excel allows you to read this threaded comment; however, any edits to it will get removed if the file is opened in a newer version of Excel. Learn more: https://go.microsoft.com/fwlink/?linkid=870924
Comment:
    TCF</t>
        </r>
      </text>
    </comment>
    <comment ref="L92" authorId="28" shapeId="0" xr:uid="{D27EC473-C785-41FE-9B3F-668C1493892D}">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Montreal ticket </t>
        </r>
      </text>
    </comment>
    <comment ref="N92" authorId="29" shapeId="0" xr:uid="{32FD9B70-8423-481A-8082-F183D0E22583}">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cc fees </t>
        </r>
      </text>
    </comment>
    <comment ref="L93" authorId="30" shapeId="0" xr:uid="{4AE0E17C-59F2-4614-A190-88B89B7EFB7F}">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CRA Manulife tax </t>
        </r>
      </text>
    </comment>
    <comment ref="M93" authorId="31" shapeId="0" xr:uid="{54E89EC3-0723-437D-9C7E-1939DD77EF77}">
      <text>
        <r>
          <rPr>
            <sz val="10"/>
            <color theme="1" tint="0.14993743705557422"/>
            <rFont val="verdana"/>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Mohamed Lybia </t>
        </r>
      </text>
    </comment>
  </commentList>
</comments>
</file>

<file path=xl/sharedStrings.xml><?xml version="1.0" encoding="utf-8"?>
<sst xmlns="http://schemas.openxmlformats.org/spreadsheetml/2006/main" count="290" uniqueCount="97">
  <si>
    <t xml:space="preserve"> </t>
  </si>
  <si>
    <t xml:space="preserve">PERSONAL Monthly Expenses </t>
  </si>
  <si>
    <t>REVENUE</t>
  </si>
  <si>
    <t>INCOME</t>
  </si>
  <si>
    <t>JAN</t>
  </si>
  <si>
    <t>FEB</t>
  </si>
  <si>
    <t>MAR</t>
  </si>
  <si>
    <t>APR</t>
  </si>
  <si>
    <t>MAY</t>
  </si>
  <si>
    <t>JUN</t>
  </si>
  <si>
    <t>JUL</t>
  </si>
  <si>
    <t>AUG</t>
  </si>
  <si>
    <t>SEP</t>
  </si>
  <si>
    <t>OCT</t>
  </si>
  <si>
    <t>NOV</t>
  </si>
  <si>
    <t>DEC</t>
  </si>
  <si>
    <t>YEAR</t>
  </si>
  <si>
    <t>SPARKLINE</t>
  </si>
  <si>
    <t>Givex</t>
  </si>
  <si>
    <t>GeoTab</t>
  </si>
  <si>
    <t>iCent</t>
  </si>
  <si>
    <t>Uber / Lyft /hopp</t>
  </si>
  <si>
    <t xml:space="preserve">Other </t>
  </si>
  <si>
    <t>Total</t>
  </si>
  <si>
    <t>EXPENSES</t>
  </si>
  <si>
    <t>HOME</t>
  </si>
  <si>
    <t xml:space="preserve">Rent </t>
  </si>
  <si>
    <t>Repairs</t>
  </si>
  <si>
    <t>Services</t>
  </si>
  <si>
    <t>Utilities</t>
  </si>
  <si>
    <t>DAILY LIVING</t>
  </si>
  <si>
    <t xml:space="preserve">Groceries </t>
  </si>
  <si>
    <t>self care</t>
  </si>
  <si>
    <t>Dining out</t>
  </si>
  <si>
    <t>other</t>
  </si>
  <si>
    <t>TRANSPORTATION</t>
  </si>
  <si>
    <t>Gas/fuel</t>
  </si>
  <si>
    <t>Insurance</t>
  </si>
  <si>
    <t>Repairs/ticktes</t>
  </si>
  <si>
    <t>Car wash/detailing services</t>
  </si>
  <si>
    <t>Parking</t>
  </si>
  <si>
    <t>ENTERTAINMENT/SUBSCRIPTION</t>
  </si>
  <si>
    <t xml:space="preserve">Internet </t>
  </si>
  <si>
    <t xml:space="preserve">phone bill </t>
  </si>
  <si>
    <t xml:space="preserve">Netflix </t>
  </si>
  <si>
    <t>Google</t>
  </si>
  <si>
    <t>Other</t>
  </si>
  <si>
    <t>HEALTH</t>
  </si>
  <si>
    <t xml:space="preserve">Doctors / dentist </t>
  </si>
  <si>
    <t>Prescriptions</t>
  </si>
  <si>
    <t>VACATIONS</t>
  </si>
  <si>
    <t>Plane fare</t>
  </si>
  <si>
    <t>Accommodations</t>
  </si>
  <si>
    <t>Food</t>
  </si>
  <si>
    <t>Souvenirs</t>
  </si>
  <si>
    <t xml:space="preserve">Rental Car </t>
  </si>
  <si>
    <t>RECREATION</t>
  </si>
  <si>
    <t>Gym fees</t>
  </si>
  <si>
    <t>Sports equipment</t>
  </si>
  <si>
    <t xml:space="preserve">Soccer </t>
  </si>
  <si>
    <t>DUES/SUBSCRIPTION</t>
  </si>
  <si>
    <t xml:space="preserve">Charity </t>
  </si>
  <si>
    <t>PERSONAL</t>
  </si>
  <si>
    <t>Clothing</t>
  </si>
  <si>
    <t>Gifts</t>
  </si>
  <si>
    <t>Barber</t>
  </si>
  <si>
    <t xml:space="preserve">courses </t>
  </si>
  <si>
    <t>FINANCIAL OBLIGATIONS</t>
  </si>
  <si>
    <t>Long-term savings</t>
  </si>
  <si>
    <t xml:space="preserve">Short-Term saving  </t>
  </si>
  <si>
    <t>Future car</t>
  </si>
  <si>
    <t xml:space="preserve">Invesments </t>
  </si>
  <si>
    <t>Other obligations</t>
  </si>
  <si>
    <t>MISC PAYMENTS</t>
  </si>
  <si>
    <t xml:space="preserve">   Other</t>
  </si>
  <si>
    <t xml:space="preserve">   Wedding Preperations </t>
  </si>
  <si>
    <t xml:space="preserve">17.44
</t>
  </si>
  <si>
    <t>TOTALS</t>
  </si>
  <si>
    <t>Total expenses</t>
  </si>
  <si>
    <t>Cash short/extra</t>
  </si>
  <si>
    <t>SAV</t>
  </si>
  <si>
    <t xml:space="preserve">Gas </t>
  </si>
  <si>
    <t>amount</t>
  </si>
  <si>
    <t>date</t>
  </si>
  <si>
    <t xml:space="preserve">central </t>
  </si>
  <si>
    <t xml:space="preserve">rouaa </t>
  </si>
  <si>
    <t>rss</t>
  </si>
  <si>
    <t xml:space="preserve">costco </t>
  </si>
  <si>
    <t xml:space="preserve">dolarama </t>
  </si>
  <si>
    <t xml:space="preserve">walmart </t>
  </si>
  <si>
    <t xml:space="preserve">bulk </t>
  </si>
  <si>
    <t xml:space="preserve">nesspresso </t>
  </si>
  <si>
    <t xml:space="preserve">nof </t>
  </si>
  <si>
    <t>rcss</t>
  </si>
  <si>
    <t xml:space="preserve">walmartr </t>
  </si>
  <si>
    <t xml:space="preserve">Total </t>
  </si>
  <si>
    <t xml:space="preserve">January: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</si>
</sst>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quot;$&quot;#,##0.00"/>
  </numFmts>
  <fonts count="30" x14ac:knownFonts="1">
    <font>
      <sz val="10"/>
      <color theme="1" tint="0.14993743705557422"/>
      <name val="verdana"/>
      <family val="2"/>
      <scheme val="minor"/>
    </font>
    <font>
      <b/>
      <sz val="10"/>
      <color theme="1" tint="0.14990691854609822"/>
      <name val="Gill Sans MT"/>
      <family val="2"/>
      <scheme val="major"/>
    </font>
    <font>
      <sz val="11"/>
      <color theme="1" tint="0.14993743705557422"/>
      <name val="Gill Sans MT"/>
      <family val="2"/>
      <scheme val="major"/>
    </font>
    <font>
      <sz val="22"/>
      <color theme="1" tint="0.14993743705557422"/>
      <name val="Gill Sans MT"/>
      <family val="2"/>
      <scheme val="major"/>
    </font>
    <font>
      <sz val="12"/>
      <color theme="1" tint="0.14993743705557422"/>
      <name val="verdana"/>
      <family val="2"/>
      <scheme val="minor"/>
    </font>
    <font>
      <sz val="14"/>
      <color theme="0"/>
      <name val="Gill Sans MT"/>
      <family val="2"/>
      <scheme val="major"/>
    </font>
    <font>
      <sz val="11"/>
      <color theme="0"/>
      <name val="verdana"/>
      <family val="2"/>
      <scheme val="minor"/>
    </font>
    <font>
      <sz val="11"/>
      <color theme="1" tint="0.14993743705557422"/>
      <name val="verdana"/>
      <family val="2"/>
      <scheme val="minor"/>
    </font>
    <font>
      <sz val="72"/>
      <color theme="5" tint="-0.499984740745262"/>
      <name val="Gill Sans MT"/>
      <family val="2"/>
      <scheme val="major"/>
    </font>
    <font>
      <sz val="14"/>
      <color theme="1" tint="0.14993743705557422"/>
      <name val="Gill Sans MT"/>
      <family val="2"/>
      <scheme val="major"/>
    </font>
    <font>
      <sz val="18"/>
      <color theme="1" tint="0.14993743705557422"/>
      <name val="Gill Sans MT"/>
      <family val="2"/>
      <scheme val="major"/>
    </font>
    <font>
      <sz val="14"/>
      <name val="Gill Sans MT"/>
      <family val="2"/>
      <scheme val="major"/>
    </font>
    <font>
      <b/>
      <sz val="11"/>
      <color theme="0"/>
      <name val="verdana"/>
      <family val="2"/>
      <scheme val="minor"/>
    </font>
    <font>
      <b/>
      <sz val="14"/>
      <name val="Gill Sans MT"/>
      <family val="2"/>
      <scheme val="major"/>
    </font>
    <font>
      <b/>
      <sz val="11"/>
      <color theme="1" tint="0.14993743705557422"/>
      <name val="verdana"/>
      <family val="2"/>
      <scheme val="minor"/>
    </font>
    <font>
      <b/>
      <sz val="12"/>
      <color theme="1" tint="0.14993743705557422"/>
      <name val="verdana"/>
      <family val="2"/>
      <scheme val="minor"/>
    </font>
    <font>
      <b/>
      <sz val="14"/>
      <color theme="0"/>
      <name val="Gill Sans MT"/>
      <family val="2"/>
      <scheme val="major"/>
    </font>
    <font>
      <b/>
      <i/>
      <u/>
      <sz val="14"/>
      <name val="Gill Sans MT"/>
      <family val="2"/>
      <scheme val="major"/>
    </font>
    <font>
      <b/>
      <sz val="14"/>
      <color theme="0"/>
      <name val="Segoe Script"/>
      <family val="4"/>
    </font>
    <font>
      <sz val="11"/>
      <color rgb="FF9C5700"/>
      <name val="verdana"/>
      <family val="2"/>
      <scheme val="minor"/>
    </font>
    <font>
      <b/>
      <sz val="10"/>
      <color theme="1" tint="0.14993743705557422"/>
      <name val="verdana"/>
      <family val="2"/>
      <scheme val="minor"/>
    </font>
    <font>
      <b/>
      <i/>
      <u/>
      <sz val="11"/>
      <color theme="1" tint="0.14993743705557422"/>
      <name val="verdana"/>
      <family val="2"/>
      <scheme val="minor"/>
    </font>
    <font>
      <b/>
      <i/>
      <u/>
      <sz val="10"/>
      <color theme="1" tint="0.14993743705557422"/>
      <name val="verdana"/>
      <family val="2"/>
      <scheme val="minor"/>
    </font>
    <font>
      <b/>
      <i/>
      <u/>
      <sz val="11"/>
      <color rgb="FF9C5700"/>
      <name val="verdana"/>
      <family val="2"/>
      <scheme val="minor"/>
    </font>
    <font>
      <sz val="9"/>
      <color indexed="81"/>
      <name val="Tahoma"/>
      <charset val="1"/>
    </font>
    <font>
      <b/>
      <sz val="9"/>
      <color indexed="81"/>
      <name val="Tahoma"/>
      <charset val="1"/>
    </font>
    <font>
      <b/>
      <sz val="11"/>
      <name val="verdana"/>
      <family val="2"/>
      <scheme val="minor"/>
    </font>
    <font>
      <b/>
      <sz val="10"/>
      <name val="verdana"/>
      <family val="2"/>
      <scheme val="minor"/>
    </font>
    <font>
      <sz val="10"/>
      <color theme="1" tint="0.14993743705557422"/>
      <name val="verdana"/>
      <family val="2"/>
      <scheme val="minor"/>
    </font>
    <font>
      <b/>
      <sz val="11"/>
      <color rgb="FFFF0000"/>
      <name val="verdana"/>
      <family val="2"/>
      <scheme val="minor"/>
    </font>
  </fonts>
  <fills count="16">
    <fill>
      <patternFill patternType="none"/>
    </fill>
    <fill>
      <patternFill patternType="gray125"/>
    </fill>
    <fill>
      <gradientFill degree="90">
        <stop position="0">
          <color theme="0"/>
        </stop>
        <stop position="1">
          <color theme="5" tint="0.80001220740379042"/>
        </stop>
      </gradientFill>
    </fill>
    <fill>
      <patternFill patternType="solid">
        <fgColor theme="4"/>
        <bgColor indexed="64"/>
      </patternFill>
    </fill>
    <fill>
      <patternFill patternType="solid">
        <fgColor theme="0"/>
        <bgColor auto="1"/>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7F7F7"/>
        <bgColor indexed="64"/>
      </patternFill>
    </fill>
    <fill>
      <patternFill patternType="solid">
        <fgColor theme="3"/>
        <bgColor indexed="64"/>
      </patternFill>
    </fill>
    <fill>
      <patternFill patternType="solid">
        <fgColor theme="7" tint="0.39997558519241921"/>
        <bgColor indexed="64"/>
      </patternFill>
    </fill>
    <fill>
      <patternFill patternType="solid">
        <fgColor rgb="FF69FF69"/>
        <bgColor indexed="64"/>
      </patternFill>
    </fill>
    <fill>
      <patternFill patternType="solid">
        <fgColor rgb="FFFFEB9C"/>
      </patternFill>
    </fill>
    <fill>
      <patternFill patternType="solid">
        <fgColor theme="2"/>
        <bgColor indexed="64"/>
      </patternFill>
    </fill>
    <fill>
      <patternFill patternType="solid">
        <fgColor theme="5"/>
        <bgColor indexed="64"/>
      </patternFill>
    </fill>
    <fill>
      <patternFill patternType="solid">
        <fgColor theme="6" tint="-9.9978637043366805E-2"/>
        <bgColor indexed="64"/>
      </patternFill>
    </fill>
    <fill>
      <patternFill patternType="solid">
        <fgColor theme="8" tint="0.59999389629810485"/>
        <bgColor indexed="64"/>
      </patternFill>
    </fill>
  </fills>
  <borders count="3">
    <border>
      <left/>
      <right/>
      <top/>
      <bottom/>
      <diagonal/>
    </border>
    <border>
      <left/>
      <right/>
      <top/>
      <bottom style="medium">
        <color theme="4" tint="-0.24994659260841701"/>
      </bottom>
      <diagonal/>
    </border>
    <border>
      <left/>
      <right style="thin">
        <color theme="5" tint="0.39994506668294322"/>
      </right>
      <top style="thin">
        <color theme="5" tint="0.39994506668294322"/>
      </top>
      <bottom style="thin">
        <color theme="5" tint="0.39994506668294322"/>
      </bottom>
      <diagonal/>
    </border>
  </borders>
  <cellStyleXfs count="7">
    <xf numFmtId="0" fontId="0" fillId="7" borderId="0">
      <alignment vertical="center"/>
    </xf>
    <xf numFmtId="0" fontId="3" fillId="0" borderId="0" applyNumberFormat="0" applyFill="0" applyProtection="0">
      <alignment vertical="center"/>
    </xf>
    <xf numFmtId="0" fontId="2" fillId="0" borderId="1" applyNumberFormat="0" applyFill="0" applyProtection="0">
      <alignment vertical="center"/>
    </xf>
    <xf numFmtId="0" fontId="1" fillId="4" borderId="0" applyNumberFormat="0" applyProtection="0">
      <alignment horizontal="left" vertical="center" indent="1"/>
    </xf>
    <xf numFmtId="0" fontId="1" fillId="2" borderId="0" applyNumberFormat="0" applyProtection="0">
      <alignment vertical="center"/>
    </xf>
    <xf numFmtId="0" fontId="19" fillId="11" borderId="0" applyNumberFormat="0" applyBorder="0" applyAlignment="0" applyProtection="0"/>
    <xf numFmtId="44" fontId="28" fillId="0" borderId="0" applyFont="0" applyFill="0" applyBorder="0" applyAlignment="0" applyProtection="0"/>
  </cellStyleXfs>
  <cellXfs count="84">
    <xf numFmtId="0" fontId="0" fillId="7" borderId="0" xfId="0">
      <alignment vertical="center"/>
    </xf>
    <xf numFmtId="0" fontId="4" fillId="6" borderId="0" xfId="0" applyFont="1" applyFill="1" applyAlignment="1">
      <alignment horizontal="right" vertical="center" indent="1"/>
    </xf>
    <xf numFmtId="0" fontId="7" fillId="6" borderId="0" xfId="0" applyFont="1" applyFill="1">
      <alignment vertical="center"/>
    </xf>
    <xf numFmtId="0" fontId="7" fillId="6" borderId="0" xfId="0" applyFont="1" applyFill="1" applyAlignment="1">
      <alignment horizontal="right" vertical="center" indent="1"/>
    </xf>
    <xf numFmtId="0" fontId="7" fillId="0" borderId="0" xfId="0" applyFont="1" applyFill="1">
      <alignment vertical="center"/>
    </xf>
    <xf numFmtId="164" fontId="6" fillId="3" borderId="0" xfId="0" applyNumberFormat="1" applyFont="1" applyFill="1" applyAlignment="1">
      <alignment horizontal="right" vertical="center" indent="1"/>
    </xf>
    <xf numFmtId="164" fontId="6" fillId="8" borderId="0" xfId="0" applyNumberFormat="1" applyFont="1" applyFill="1" applyAlignment="1">
      <alignment horizontal="right" vertical="center" indent="1"/>
    </xf>
    <xf numFmtId="164" fontId="6" fillId="8" borderId="0" xfId="0" applyNumberFormat="1" applyFont="1" applyFill="1" applyAlignment="1">
      <alignment horizontal="right" vertical="center"/>
    </xf>
    <xf numFmtId="0" fontId="0" fillId="6" borderId="0" xfId="0" applyFill="1" applyAlignment="1"/>
    <xf numFmtId="0" fontId="0" fillId="6" borderId="0" xfId="0" applyFill="1">
      <alignment vertical="center"/>
    </xf>
    <xf numFmtId="0" fontId="0" fillId="6" borderId="0" xfId="0" applyFill="1" applyAlignment="1">
      <alignment horizontal="right" vertical="center"/>
    </xf>
    <xf numFmtId="0" fontId="7" fillId="6" borderId="0" xfId="0" applyFont="1" applyFill="1" applyAlignment="1"/>
    <xf numFmtId="164" fontId="7" fillId="7" borderId="0" xfId="0" applyNumberFormat="1" applyFont="1" applyAlignment="1">
      <alignment horizontal="right" vertical="center" indent="1"/>
    </xf>
    <xf numFmtId="164" fontId="7" fillId="7" borderId="0" xfId="0" applyNumberFormat="1" applyFont="1" applyAlignment="1">
      <alignment horizontal="right" vertical="center"/>
    </xf>
    <xf numFmtId="0" fontId="7" fillId="7" borderId="0" xfId="0" applyFont="1" applyAlignment="1">
      <alignment horizontal="right" vertical="center"/>
    </xf>
    <xf numFmtId="0" fontId="9" fillId="6" borderId="0" xfId="0" applyFont="1" applyFill="1" applyAlignment="1"/>
    <xf numFmtId="0" fontId="9" fillId="6" borderId="0" xfId="0" applyFont="1" applyFill="1">
      <alignment vertical="center"/>
    </xf>
    <xf numFmtId="0" fontId="11" fillId="6" borderId="0" xfId="0" applyFont="1" applyFill="1" applyAlignment="1"/>
    <xf numFmtId="0" fontId="11" fillId="6" borderId="0" xfId="0" applyFont="1" applyFill="1">
      <alignment vertical="center"/>
    </xf>
    <xf numFmtId="0" fontId="0" fillId="0" borderId="0" xfId="0" applyFill="1">
      <alignment vertical="center"/>
    </xf>
    <xf numFmtId="0" fontId="11" fillId="0" borderId="0" xfId="0" applyFont="1" applyFill="1">
      <alignment vertical="center"/>
    </xf>
    <xf numFmtId="0" fontId="9" fillId="0" borderId="0" xfId="0" applyFont="1" applyFill="1">
      <alignment vertical="center"/>
    </xf>
    <xf numFmtId="0" fontId="5" fillId="8" borderId="0" xfId="3" applyFont="1" applyFill="1">
      <alignment horizontal="left" vertical="center" indent="1"/>
    </xf>
    <xf numFmtId="0" fontId="10" fillId="6" borderId="0" xfId="0" applyFont="1" applyFill="1" applyAlignment="1"/>
    <xf numFmtId="0" fontId="5" fillId="3" borderId="0" xfId="2" applyFont="1" applyFill="1" applyBorder="1" applyAlignment="1">
      <alignment horizontal="right" vertical="center" indent="1"/>
    </xf>
    <xf numFmtId="0" fontId="5" fillId="3" borderId="0" xfId="2" applyFont="1" applyFill="1" applyBorder="1" applyAlignment="1">
      <alignment horizontal="right" vertical="center"/>
    </xf>
    <xf numFmtId="0" fontId="10" fillId="6" borderId="0" xfId="0" applyFont="1" applyFill="1">
      <alignment vertical="center"/>
    </xf>
    <xf numFmtId="0" fontId="10" fillId="0" borderId="0" xfId="0" applyFont="1" applyFill="1">
      <alignment vertical="center"/>
    </xf>
    <xf numFmtId="0" fontId="11" fillId="7" borderId="0" xfId="0" applyFont="1">
      <alignment vertical="center"/>
    </xf>
    <xf numFmtId="0" fontId="13" fillId="7" borderId="0" xfId="0" applyFont="1" applyAlignment="1">
      <alignment horizontal="right" vertical="center" indent="1"/>
    </xf>
    <xf numFmtId="164" fontId="14" fillId="7" borderId="0" xfId="0" applyNumberFormat="1" applyFont="1" applyAlignment="1">
      <alignment horizontal="right" vertical="center" indent="1"/>
    </xf>
    <xf numFmtId="0" fontId="15" fillId="6" borderId="0" xfId="0" applyFont="1" applyFill="1" applyAlignment="1">
      <alignment horizontal="right" vertical="center" indent="1"/>
    </xf>
    <xf numFmtId="0" fontId="16" fillId="3" borderId="0" xfId="2" applyFont="1" applyFill="1" applyBorder="1" applyAlignment="1">
      <alignment horizontal="right" vertical="center" indent="1"/>
    </xf>
    <xf numFmtId="0" fontId="14" fillId="6" borderId="0" xfId="0" applyFont="1" applyFill="1" applyAlignment="1">
      <alignment horizontal="right" vertical="center" indent="1"/>
    </xf>
    <xf numFmtId="164" fontId="12" fillId="3" borderId="0" xfId="0" applyNumberFormat="1" applyFont="1" applyFill="1" applyAlignment="1">
      <alignment horizontal="right" vertical="center" indent="1"/>
    </xf>
    <xf numFmtId="0" fontId="17" fillId="7" borderId="0" xfId="0" applyFont="1" applyAlignment="1">
      <alignment horizontal="right" vertical="center" indent="1"/>
    </xf>
    <xf numFmtId="0" fontId="13" fillId="7" borderId="0" xfId="0" applyFont="1">
      <alignment vertical="center"/>
    </xf>
    <xf numFmtId="0" fontId="16" fillId="3" borderId="0" xfId="2" applyFont="1" applyFill="1" applyBorder="1" applyAlignment="1">
      <alignment horizontal="left" vertical="center" indent="1"/>
    </xf>
    <xf numFmtId="0" fontId="13" fillId="7" borderId="0" xfId="0" applyFont="1" applyAlignment="1">
      <alignment horizontal="left" vertical="center" indent="1"/>
    </xf>
    <xf numFmtId="0" fontId="14" fillId="7" borderId="0" xfId="0" applyFont="1" applyAlignment="1">
      <alignment horizontal="left" vertical="center" indent="1"/>
    </xf>
    <xf numFmtId="0" fontId="15" fillId="6" borderId="0" xfId="0" applyFont="1" applyFill="1">
      <alignment vertical="center"/>
    </xf>
    <xf numFmtId="0" fontId="14" fillId="6" borderId="0" xfId="0" applyFont="1" applyFill="1">
      <alignment vertical="center"/>
    </xf>
    <xf numFmtId="0" fontId="14" fillId="7" borderId="0" xfId="0" applyFont="1" applyAlignment="1">
      <alignment horizontal="left" vertical="center"/>
    </xf>
    <xf numFmtId="0" fontId="16" fillId="8" borderId="0" xfId="3" applyFont="1" applyFill="1">
      <alignment horizontal="left" vertical="center" indent="1"/>
    </xf>
    <xf numFmtId="0" fontId="12" fillId="8" borderId="0" xfId="0" applyFont="1" applyFill="1" applyAlignment="1">
      <alignment horizontal="left" vertical="center" indent="1"/>
    </xf>
    <xf numFmtId="0" fontId="18" fillId="3" borderId="0" xfId="3" applyFont="1" applyFill="1" applyAlignment="1">
      <alignment horizontal="right" vertical="center" indent="1"/>
    </xf>
    <xf numFmtId="0" fontId="18" fillId="8" borderId="0" xfId="3" applyFont="1" applyFill="1" applyAlignment="1">
      <alignment horizontal="right" vertical="center" indent="1"/>
    </xf>
    <xf numFmtId="0" fontId="14" fillId="9" borderId="0" xfId="0" applyFont="1" applyFill="1" applyAlignment="1">
      <alignment horizontal="left" vertical="center" indent="1"/>
    </xf>
    <xf numFmtId="0" fontId="14" fillId="10" borderId="0" xfId="0" applyFont="1" applyFill="1" applyAlignment="1">
      <alignment horizontal="left" vertical="center" indent="1"/>
    </xf>
    <xf numFmtId="164" fontId="7" fillId="10" borderId="0" xfId="0" applyNumberFormat="1" applyFont="1" applyFill="1" applyAlignment="1">
      <alignment horizontal="right" vertical="center" indent="1"/>
    </xf>
    <xf numFmtId="164" fontId="7" fillId="9" borderId="0" xfId="0" applyNumberFormat="1" applyFont="1" applyFill="1" applyAlignment="1">
      <alignment horizontal="right" vertical="center" indent="1"/>
    </xf>
    <xf numFmtId="0" fontId="20" fillId="6" borderId="0" xfId="0" applyFont="1" applyFill="1" applyAlignment="1">
      <alignment horizontal="right" vertical="center"/>
    </xf>
    <xf numFmtId="0" fontId="21" fillId="10" borderId="2" xfId="0" applyFont="1" applyFill="1" applyBorder="1" applyAlignment="1">
      <alignment horizontal="left" vertical="center" indent="1"/>
    </xf>
    <xf numFmtId="0" fontId="22" fillId="6" borderId="0" xfId="0" applyFont="1" applyFill="1" applyAlignment="1">
      <alignment horizontal="right" vertical="center"/>
    </xf>
    <xf numFmtId="0" fontId="23" fillId="11" borderId="0" xfId="5" applyFont="1" applyAlignment="1">
      <alignment horizontal="right" vertical="center"/>
    </xf>
    <xf numFmtId="0" fontId="20" fillId="6" borderId="0" xfId="0" applyFont="1" applyFill="1">
      <alignment vertical="center"/>
    </xf>
    <xf numFmtId="0" fontId="0" fillId="12" borderId="0" xfId="0" applyFill="1">
      <alignment vertical="center"/>
    </xf>
    <xf numFmtId="0" fontId="0" fillId="12" borderId="0" xfId="0" applyFill="1" applyAlignment="1">
      <alignment horizontal="right" vertical="center"/>
    </xf>
    <xf numFmtId="164" fontId="7" fillId="13" borderId="0" xfId="0" applyNumberFormat="1" applyFont="1" applyFill="1" applyAlignment="1">
      <alignment horizontal="right" vertical="center" indent="1"/>
    </xf>
    <xf numFmtId="0" fontId="4" fillId="13" borderId="0" xfId="0" applyFont="1" applyFill="1" applyAlignment="1">
      <alignment horizontal="right" vertical="center" indent="1"/>
    </xf>
    <xf numFmtId="0" fontId="5" fillId="13" borderId="0" xfId="2" applyFont="1" applyFill="1" applyBorder="1" applyAlignment="1">
      <alignment horizontal="right" vertical="center" indent="1"/>
    </xf>
    <xf numFmtId="0" fontId="17" fillId="13" borderId="0" xfId="0" applyFont="1" applyFill="1" applyAlignment="1">
      <alignment horizontal="right" vertical="center" indent="1"/>
    </xf>
    <xf numFmtId="164" fontId="14" fillId="13" borderId="0" xfId="0" applyNumberFormat="1" applyFont="1" applyFill="1" applyAlignment="1">
      <alignment horizontal="right" vertical="center" indent="1"/>
    </xf>
    <xf numFmtId="0" fontId="7" fillId="13" borderId="0" xfId="0" applyFont="1" applyFill="1" applyAlignment="1">
      <alignment horizontal="right" vertical="center" indent="1"/>
    </xf>
    <xf numFmtId="0" fontId="18" fillId="13" borderId="0" xfId="3" applyFont="1" applyFill="1" applyAlignment="1">
      <alignment horizontal="right" vertical="center" indent="1"/>
    </xf>
    <xf numFmtId="164" fontId="26" fillId="13" borderId="0" xfId="0" applyNumberFormat="1" applyFont="1" applyFill="1" applyAlignment="1">
      <alignment horizontal="right" vertical="center" indent="1"/>
    </xf>
    <xf numFmtId="16" fontId="0" fillId="12" borderId="0" xfId="0" applyNumberFormat="1" applyFill="1" applyAlignment="1">
      <alignment horizontal="right" vertical="center"/>
    </xf>
    <xf numFmtId="0" fontId="20" fillId="6" borderId="0" xfId="0" applyFont="1" applyFill="1" applyAlignment="1">
      <alignment horizontal="left" vertical="center"/>
    </xf>
    <xf numFmtId="44" fontId="27" fillId="6" borderId="0" xfId="6" applyFont="1" applyFill="1" applyAlignment="1">
      <alignment horizontal="right" vertical="center"/>
    </xf>
    <xf numFmtId="0" fontId="14" fillId="14" borderId="0" xfId="0" applyFont="1" applyFill="1" applyAlignment="1">
      <alignment horizontal="left" vertical="center" indent="1"/>
    </xf>
    <xf numFmtId="164" fontId="7" fillId="14" borderId="0" xfId="0" applyNumberFormat="1" applyFont="1" applyFill="1" applyAlignment="1">
      <alignment horizontal="right" vertical="center" indent="1"/>
    </xf>
    <xf numFmtId="164" fontId="14" fillId="14" borderId="0" xfId="0" applyNumberFormat="1" applyFont="1" applyFill="1" applyAlignment="1">
      <alignment horizontal="right" vertical="center" indent="1"/>
    </xf>
    <xf numFmtId="164" fontId="7" fillId="14" borderId="0" xfId="0" applyNumberFormat="1" applyFont="1" applyFill="1" applyAlignment="1">
      <alignment horizontal="right" vertical="center"/>
    </xf>
    <xf numFmtId="44" fontId="20" fillId="6" borderId="0" xfId="6" applyFont="1" applyFill="1" applyAlignment="1">
      <alignment horizontal="right" vertical="center"/>
    </xf>
    <xf numFmtId="164" fontId="14" fillId="10" borderId="0" xfId="0" applyNumberFormat="1" applyFont="1" applyFill="1" applyAlignment="1">
      <alignment horizontal="right" vertical="center" indent="1"/>
    </xf>
    <xf numFmtId="164" fontId="29" fillId="7" borderId="0" xfId="0" applyNumberFormat="1" applyFont="1" applyAlignment="1">
      <alignment horizontal="right" vertical="center" indent="1"/>
    </xf>
    <xf numFmtId="0" fontId="14" fillId="15" borderId="0" xfId="0" applyFont="1" applyFill="1" applyAlignment="1">
      <alignment horizontal="left" vertical="center" indent="1"/>
    </xf>
    <xf numFmtId="164" fontId="7" fillId="15" borderId="0" xfId="0" applyNumberFormat="1" applyFont="1" applyFill="1" applyAlignment="1">
      <alignment horizontal="right" vertical="center" indent="1"/>
    </xf>
    <xf numFmtId="14" fontId="0" fillId="6" borderId="0" xfId="0" applyNumberFormat="1" applyFill="1" applyAlignment="1"/>
    <xf numFmtId="0" fontId="15" fillId="6" borderId="0" xfId="0" applyFont="1" applyFill="1" applyAlignment="1">
      <alignment horizontal="right" vertical="center"/>
    </xf>
    <xf numFmtId="0" fontId="0" fillId="6" borderId="0" xfId="0" applyFill="1" applyAlignment="1">
      <alignment wrapText="1"/>
    </xf>
    <xf numFmtId="164" fontId="7" fillId="7" borderId="0" xfId="0" applyNumberFormat="1" applyFont="1" applyAlignment="1">
      <alignment horizontal="right" vertical="center" wrapText="1" indent="1"/>
    </xf>
    <xf numFmtId="0" fontId="20" fillId="12" borderId="0" xfId="0" applyFont="1" applyFill="1">
      <alignment vertical="center"/>
    </xf>
    <xf numFmtId="0" fontId="8" fillId="5" borderId="0" xfId="1" applyFont="1" applyFill="1" applyAlignment="1">
      <alignment horizontal="left" vertical="center" indent="1"/>
    </xf>
  </cellXfs>
  <cellStyles count="7">
    <cellStyle name="Currency" xfId="6" builtinId="4"/>
    <cellStyle name="Heading 1" xfId="1" builtinId="16" customBuiltin="1"/>
    <cellStyle name="Heading 2" xfId="2" builtinId="17" customBuiltin="1"/>
    <cellStyle name="Heading 3" xfId="3" builtinId="18" customBuiltin="1"/>
    <cellStyle name="Heading 4" xfId="4" builtinId="19" hidden="1" customBuiltin="1"/>
    <cellStyle name="Neutral" xfId="5" builtinId="28"/>
    <cellStyle name="Normal" xfId="0" builtinId="0" customBuiltin="1"/>
  </cellStyles>
  <dxfs count="437">
    <dxf>
      <fill>
        <patternFill>
          <bgColor rgb="FFC00000"/>
        </patternFill>
      </fill>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textRotation="0" wrapText="0" indent="0" justifyLastLine="0" shrinkToFit="0" readingOrder="0"/>
    </dxf>
    <dxf>
      <font>
        <b/>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verdana"/>
        <family val="2"/>
        <scheme val="minor"/>
      </font>
      <numFmt numFmtId="164" formatCode="&quot;$&quot;#,##0.00"/>
      <fill>
        <patternFill patternType="solid">
          <fgColor indexed="64"/>
          <bgColor theme="3"/>
        </patternFill>
      </fill>
      <alignment horizontal="right" vertical="center" textRotation="0" wrapText="0" indent="1" justifyLastLine="0" shrinkToFit="0" readingOrder="0"/>
    </dxf>
    <dxf>
      <font>
        <b/>
        <strike val="0"/>
        <outline val="0"/>
        <shadow val="0"/>
        <u val="none"/>
        <vertAlign val="baseline"/>
        <sz val="11"/>
        <color auto="1"/>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b/>
        <strike val="0"/>
        <outline val="0"/>
        <shadow val="0"/>
        <u val="none"/>
        <vertAlign val="baseline"/>
        <sz val="11"/>
        <color theme="0"/>
        <name val="verdana"/>
        <family val="2"/>
        <scheme val="minor"/>
      </font>
      <fill>
        <patternFill patternType="solid">
          <fgColor indexed="64"/>
          <bgColor theme="3"/>
        </patternFill>
      </fill>
      <alignment horizontal="left" vertical="center" textRotation="0" wrapText="0" relativeIndent="1" justifyLastLine="0" shrinkToFit="0" readingOrder="0"/>
    </dxf>
    <dxf>
      <font>
        <strike val="0"/>
        <outline val="0"/>
        <shadow val="0"/>
        <u val="none"/>
        <vertAlign val="baseline"/>
        <sz val="11"/>
        <color theme="0"/>
        <name val="verdana"/>
        <family val="2"/>
        <scheme val="minor"/>
      </font>
      <fill>
        <patternFill patternType="solid">
          <fgColor indexed="64"/>
          <bgColor theme="1"/>
        </patternFill>
      </fill>
    </dxf>
    <dxf>
      <font>
        <b val="0"/>
        <strike val="0"/>
        <outline val="0"/>
        <shadow val="0"/>
        <u val="none"/>
        <vertAlign val="baseline"/>
        <sz val="14"/>
        <color theme="0"/>
        <name val="Gill Sans MT"/>
        <family val="2"/>
        <scheme val="major"/>
      </font>
      <fill>
        <patternFill patternType="solid">
          <fgColor indexed="64"/>
          <bgColor theme="1"/>
        </patternFill>
      </fill>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numFmt numFmtId="164" formatCode="&quot;$&quot;#,##0.0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164" formatCode="&quot;$&quot;#,##0.0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164" formatCode="&quot;$&quot;#,##0.0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164" formatCode="&quot;$&quot;#,##0.0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164" formatCode="&quot;$&quot;#,##0.0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164" formatCode="&quot;$&quot;#,##0.0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numFmt numFmtId="164" formatCode="&quot;$&quot;#,##0.00"/>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theme="5" tint="0.3999755851924192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verdana"/>
        <family val="2"/>
        <scheme val="minor"/>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color theme="1" tint="0.14993743705557422"/>
        <name val="verdana"/>
        <family val="2"/>
        <scheme val="minor"/>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strike val="0"/>
        <outline val="0"/>
        <shadow val="0"/>
        <u val="none"/>
        <vertAlign val="baseline"/>
        <sz val="11"/>
        <color theme="1" tint="0.14993743705557422"/>
        <name val="verdana"/>
        <family val="2"/>
        <scheme val="minor"/>
      </font>
    </dxf>
    <dxf>
      <font>
        <b val="0"/>
        <i val="0"/>
        <strike val="0"/>
        <condense val="0"/>
        <extend val="0"/>
        <outline val="0"/>
        <shadow val="0"/>
        <u val="none"/>
        <vertAlign val="baseline"/>
        <sz val="14"/>
        <color auto="1"/>
        <name val="Gill Sans MT"/>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verdana"/>
        <family val="2"/>
        <scheme val="minor"/>
      </font>
      <alignment horizontal="right" vertical="center" textRotation="0" wrapText="0" indent="0" justifyLastLine="0" shrinkToFit="0" readingOrder="0"/>
    </dxf>
    <dxf>
      <font>
        <strike val="0"/>
        <outline val="0"/>
        <shadow val="0"/>
        <u val="none"/>
        <vertAlign val="baseline"/>
        <sz val="11"/>
      </font>
    </dxf>
    <dxf>
      <font>
        <b/>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b/>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alignment horizontal="right" vertical="center" textRotation="0" wrapText="0" indent="1" justifyLastLine="0" shrinkToFit="0" readingOrder="0"/>
    </dxf>
    <dxf>
      <font>
        <strike val="0"/>
        <outline val="0"/>
        <shadow val="0"/>
        <u val="none"/>
        <vertAlign val="baseline"/>
        <sz val="11"/>
      </font>
    </dxf>
    <dxf>
      <font>
        <b val="0"/>
        <i val="0"/>
        <strike val="0"/>
        <condense val="0"/>
        <extend val="0"/>
        <outline val="0"/>
        <shadow val="0"/>
        <u val="none"/>
        <vertAlign val="baseline"/>
        <sz val="11"/>
        <color theme="1" tint="0.14993743705557422"/>
        <name val="verdana"/>
        <family val="2"/>
        <scheme val="minor"/>
      </font>
      <numFmt numFmtId="164" formatCode="&quot;$&quot;#,##0.00"/>
      <fill>
        <patternFill patternType="solid">
          <fgColor indexed="64"/>
          <bgColor theme="5"/>
        </patternFill>
      </fill>
      <alignment horizontal="right" vertical="center" textRotation="0" wrapText="0" indent="1" justifyLastLine="0" shrinkToFit="0" readingOrder="0"/>
    </dxf>
    <dxf>
      <font>
        <strike val="0"/>
        <outline val="0"/>
        <shadow val="0"/>
        <u val="none"/>
        <vertAlign val="baseline"/>
        <sz val="11"/>
      </font>
      <fill>
        <patternFill patternType="solid">
          <fgColor indexed="64"/>
          <bgColor theme="5"/>
        </patternFill>
      </fill>
    </dxf>
    <dxf>
      <font>
        <b/>
        <i val="0"/>
        <strike val="0"/>
        <condense val="0"/>
        <extend val="0"/>
        <outline val="0"/>
        <shadow val="0"/>
        <u val="none"/>
        <vertAlign val="baseline"/>
        <sz val="11"/>
        <color theme="1" tint="0.14993743705557422"/>
        <name val="verdana"/>
        <family val="2"/>
        <scheme val="minor"/>
      </font>
      <alignment horizontal="left" vertical="center" textRotation="0" wrapText="0" indent="1" justifyLastLine="0" shrinkToFit="0" readingOrder="0"/>
    </dxf>
    <dxf>
      <font>
        <b/>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b val="0"/>
        <i val="0"/>
        <strike val="0"/>
        <condense val="0"/>
        <extend val="0"/>
        <outline val="0"/>
        <shadow val="0"/>
        <u val="none"/>
        <vertAlign val="baseline"/>
        <sz val="14"/>
        <color auto="1"/>
        <name val="Gill Sans MT"/>
        <family val="2"/>
        <scheme val="major"/>
      </font>
      <fill>
        <patternFill patternType="solid">
          <fgColor indexed="64"/>
          <bgColor rgb="FFF7F7F7"/>
        </patternFill>
      </fill>
      <alignment horizontal="right" vertical="center" textRotation="0" wrapText="0" indent="1" justifyLastLine="0" shrinkToFit="0" readingOrder="0"/>
    </dxf>
    <dxf>
      <fill>
        <patternFill>
          <bgColor theme="5" tint="0.79998168889431442"/>
        </patternFill>
      </fill>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font>
        <u val="none"/>
        <color theme="1"/>
      </font>
      <fill>
        <patternFill>
          <fgColor theme="5" tint="0.79998168889431442"/>
          <bgColor theme="5" tint="0.79995117038483843"/>
        </patternFill>
      </fill>
    </dxf>
    <dxf>
      <fill>
        <patternFill>
          <bgColor theme="5" tint="0.39994506668294322"/>
        </patternFill>
      </fill>
    </dxf>
    <dxf>
      <border>
        <vertical style="thin">
          <color theme="5" tint="0.39994506668294322"/>
        </vertical>
        <horizontal style="thin">
          <color theme="5" tint="0.39994506668294322"/>
        </horizontal>
      </border>
    </dxf>
    <dxf>
      <font>
        <b/>
        <i val="0"/>
        <color theme="6" tint="-0.499984740745262"/>
      </font>
      <fill>
        <patternFill>
          <bgColor theme="6" tint="0.79998168889431442"/>
        </patternFill>
      </fill>
    </dxf>
    <dxf>
      <font>
        <b/>
        <i val="0"/>
        <color theme="6" tint="-0.499984740745262"/>
      </font>
      <fill>
        <patternFill>
          <bgColor theme="6" tint="0.79998168889431442"/>
        </patternFill>
      </fill>
    </dxf>
    <dxf>
      <font>
        <b val="0"/>
        <i val="0"/>
        <color theme="6" tint="-0.499984740745262"/>
      </font>
      <fill>
        <patternFill patternType="solid">
          <fgColor theme="6" tint="0.79998168889431442"/>
          <bgColor theme="6" tint="0.79998168889431442"/>
        </patternFill>
      </fill>
    </dxf>
    <dxf>
      <font>
        <b val="0"/>
        <i val="0"/>
        <color theme="6" tint="-0.499984740745262"/>
      </font>
      <fill>
        <patternFill patternType="solid">
          <fgColor theme="6" tint="0.79998168889431442"/>
          <bgColor theme="6" tint="0.79998168889431442"/>
        </patternFill>
      </fill>
    </dxf>
    <dxf>
      <font>
        <b/>
        <i val="0"/>
        <color theme="6" tint="-0.499984740745262"/>
      </font>
      <fill>
        <patternFill>
          <bgColor theme="6" tint="0.79998168889431442"/>
        </patternFill>
      </fill>
    </dxf>
    <dxf>
      <font>
        <b/>
        <i val="0"/>
        <color theme="6" tint="-0.499984740745262"/>
      </font>
      <fill>
        <patternFill>
          <bgColor theme="6" tint="0.79998168889431442"/>
        </patternFill>
      </fill>
    </dxf>
    <dxf>
      <font>
        <b val="0"/>
        <i val="0"/>
        <color theme="6" tint="-0.499984740745262"/>
      </font>
      <border>
        <top style="thin">
          <color theme="6" tint="-0.24994659260841701"/>
        </top>
      </border>
    </dxf>
    <dxf>
      <font>
        <b val="0"/>
        <i val="0"/>
        <color theme="6" tint="-0.499984740745262"/>
      </font>
      <border>
        <bottom style="thin">
          <color theme="6" tint="-0.24994659260841701"/>
        </bottom>
      </border>
    </dxf>
    <dxf>
      <font>
        <b val="0"/>
        <i val="0"/>
        <color theme="6" tint="-0.499984740745262"/>
      </font>
      <border>
        <top style="thin">
          <color theme="6" tint="-0.24994659260841701"/>
        </top>
        <bottom style="thin">
          <color theme="6" tint="-0.24994659260841701"/>
        </bottom>
      </border>
    </dxf>
    <dxf>
      <font>
        <b/>
        <i val="0"/>
        <color theme="5" tint="-0.499984740745262"/>
      </font>
      <fill>
        <patternFill>
          <bgColor theme="5" tint="0.79998168889431442"/>
        </patternFill>
      </fill>
    </dxf>
    <dxf>
      <font>
        <b/>
        <i val="0"/>
        <color theme="5" tint="-0.499984740745262"/>
      </font>
      <fill>
        <patternFill>
          <bgColor theme="5" tint="0.79998168889431442"/>
        </patternFill>
      </fill>
    </dxf>
    <dxf>
      <font>
        <b val="0"/>
        <i val="0"/>
        <color theme="5" tint="-0.499984740745262"/>
      </font>
      <fill>
        <patternFill patternType="solid">
          <fgColor theme="5" tint="0.79998168889431442"/>
          <bgColor theme="5" tint="0.79998168889431442"/>
        </patternFill>
      </fill>
    </dxf>
    <dxf>
      <font>
        <b val="0"/>
        <i val="0"/>
        <color theme="5" tint="-0.499984740745262"/>
      </font>
      <fill>
        <patternFill patternType="solid">
          <fgColor theme="5" tint="0.79998168889431442"/>
          <bgColor theme="5" tint="0.79998168889431442"/>
        </patternFill>
      </fill>
    </dxf>
    <dxf>
      <font>
        <b/>
        <i val="0"/>
        <color theme="5" tint="-0.499984740745262"/>
      </font>
      <fill>
        <patternFill>
          <bgColor theme="5" tint="0.79998168889431442"/>
        </patternFill>
      </fill>
    </dxf>
    <dxf>
      <font>
        <b/>
        <i val="0"/>
        <color theme="5" tint="-0.499984740745262"/>
      </font>
    </dxf>
    <dxf>
      <font>
        <b val="0"/>
        <i val="0"/>
        <color theme="5" tint="-0.499984740745262"/>
      </font>
      <border>
        <top style="thin">
          <color theme="5" tint="-0.24994659260841701"/>
        </top>
      </border>
    </dxf>
    <dxf>
      <font>
        <b val="0"/>
        <i val="0"/>
        <color theme="5" tint="-0.499984740745262"/>
      </font>
      <border>
        <bottom style="thin">
          <color theme="5" tint="-0.24994659260841701"/>
        </bottom>
      </border>
    </dxf>
    <dxf>
      <font>
        <b val="0"/>
        <i val="0"/>
        <color theme="5" tint="-0.499984740745262"/>
      </font>
      <border>
        <top style="thin">
          <color theme="5" tint="-0.24994659260841701"/>
        </top>
        <bottom style="thin">
          <color theme="5" tint="-0.24994659260841701"/>
        </bottom>
      </border>
    </dxf>
    <dxf>
      <font>
        <b/>
        <i val="0"/>
        <color theme="4" tint="-0.499984740745262"/>
      </font>
      <fill>
        <patternFill>
          <bgColor theme="4" tint="0.79998168889431442"/>
        </patternFill>
      </fill>
    </dxf>
    <dxf>
      <font>
        <b/>
        <i val="0"/>
        <color theme="4" tint="-0.499984740745262"/>
      </font>
      <fill>
        <patternFill>
          <bgColor theme="4" tint="0.79998168889431442"/>
        </patternFill>
      </fill>
    </dxf>
    <dxf>
      <font>
        <b val="0"/>
        <i val="0"/>
        <color theme="4" tint="-0.499984740745262"/>
      </font>
      <fill>
        <patternFill>
          <bgColor theme="4" tint="0.79998168889431442"/>
        </patternFill>
      </fill>
    </dxf>
    <dxf>
      <font>
        <b val="0"/>
        <i val="0"/>
        <color theme="4" tint="-0.499984740745262"/>
      </font>
      <fill>
        <patternFill patternType="solid">
          <fgColor theme="4" tint="0.79995117038483843"/>
          <bgColor theme="4" tint="0.79998168889431442"/>
        </patternFill>
      </fill>
    </dxf>
    <dxf>
      <font>
        <b/>
        <i val="0"/>
        <color theme="4" tint="-0.499984740745262"/>
      </font>
      <fill>
        <patternFill>
          <bgColor theme="4" tint="0.79998168889431442"/>
        </patternFill>
      </fill>
    </dxf>
    <dxf>
      <font>
        <b/>
        <i val="0"/>
        <color theme="4" tint="-0.499984740745262"/>
      </font>
    </dxf>
    <dxf>
      <font>
        <b val="0"/>
        <i val="0"/>
        <color theme="4" tint="-0.499984740745262"/>
      </font>
      <fill>
        <patternFill patternType="none">
          <bgColor auto="1"/>
        </patternFill>
      </fill>
      <border>
        <top style="thin">
          <color theme="4" tint="-0.24994659260841701"/>
        </top>
      </border>
    </dxf>
    <dxf>
      <border diagonalUp="0" diagonalDown="0">
        <left/>
        <right/>
        <top/>
        <bottom style="thin">
          <color theme="4" tint="-0.499984740745262"/>
        </bottom>
        <vertical/>
        <horizontal/>
      </border>
    </dxf>
    <dxf>
      <font>
        <b val="0"/>
        <i val="0"/>
        <color theme="4" tint="-0.499984740745262"/>
      </font>
      <border>
        <top style="thin">
          <color theme="4" tint="-0.24994659260841701"/>
        </top>
        <bottom style="thin">
          <color theme="4" tint="-0.24994659260841701"/>
        </bottom>
      </border>
    </dxf>
  </dxfs>
  <tableStyles count="4" defaultTableStyle="Personal Budget - Expense" defaultPivotStyle="PivotStyleLight16">
    <tableStyle name="Persona Budget - Revenue" pivot="0" count="9" xr9:uid="{00000000-0011-0000-FFFF-FFFF00000000}">
      <tableStyleElement type="wholeTable" dxfId="436"/>
      <tableStyleElement type="headerRow" dxfId="435"/>
      <tableStyleElement type="totalRow" dxfId="434"/>
      <tableStyleElement type="firstColumn" dxfId="433"/>
      <tableStyleElement type="lastColumn" dxfId="432"/>
      <tableStyleElement type="firstRowStripe" dxfId="431"/>
      <tableStyleElement type="firstColumnStripe" dxfId="430"/>
      <tableStyleElement type="firstTotalCell" dxfId="429"/>
      <tableStyleElement type="lastTotalCell" dxfId="428"/>
    </tableStyle>
    <tableStyle name="Personal Budget - Expense" pivot="0" count="9" xr9:uid="{00000000-0011-0000-FFFF-FFFF01000000}">
      <tableStyleElement type="wholeTable" dxfId="427"/>
      <tableStyleElement type="headerRow" dxfId="426"/>
      <tableStyleElement type="totalRow" dxfId="425"/>
      <tableStyleElement type="firstColumn" dxfId="424"/>
      <tableStyleElement type="lastColumn" dxfId="423"/>
      <tableStyleElement type="firstRowStripe" dxfId="422"/>
      <tableStyleElement type="firstColumnStripe" dxfId="421"/>
      <tableStyleElement type="firstTotalCell" dxfId="420"/>
      <tableStyleElement type="lastTotalCell" dxfId="419"/>
    </tableStyle>
    <tableStyle name="Personal Budget - Total" pivot="0" count="9" xr9:uid="{00000000-0011-0000-FFFF-FFFF02000000}">
      <tableStyleElement type="wholeTable" dxfId="418"/>
      <tableStyleElement type="headerRow" dxfId="417"/>
      <tableStyleElement type="totalRow" dxfId="416"/>
      <tableStyleElement type="firstColumn" dxfId="415"/>
      <tableStyleElement type="lastColumn" dxfId="414"/>
      <tableStyleElement type="firstRowStripe" dxfId="413"/>
      <tableStyleElement type="firstColumnStripe" dxfId="412"/>
      <tableStyleElement type="firstTotalCell" dxfId="411"/>
      <tableStyleElement type="lastTotalCell" dxfId="410"/>
    </tableStyle>
    <tableStyle name="Table Style 1" pivot="0" count="6" xr9:uid="{456F6818-18F1-E948-8739-F0108FE3AA10}">
      <tableStyleElement type="wholeTable" dxfId="409"/>
      <tableStyleElement type="headerRow" dxfId="408"/>
      <tableStyleElement type="totalRow" dxfId="407"/>
      <tableStyleElement type="firstRowStripe" dxfId="406"/>
      <tableStyleElement type="secondRowStripe" dxfId="405"/>
      <tableStyleElement type="secondColumnStripe" dxfId="404"/>
    </tableStyle>
  </tableStyles>
  <colors>
    <mruColors>
      <color rgb="FF69FF69"/>
      <color rgb="FFFFB3FF"/>
      <color rgb="FFFF3F3F"/>
      <color rgb="FFF7F7F7"/>
      <color rgb="FFF3F8FF"/>
      <color rgb="FFE6F8FA"/>
      <color rgb="FFEFF5FF"/>
      <color rgb="FFD6E8F6"/>
      <color rgb="FFE6EF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11"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Guest User" id="{A7C6D820-F248-46A9-927B-62D04D22E457}" userId="" providerId="Windows Live"/>
  <person displayName="Adil Ouchtati" id="{DAEF4763-1EE2-4AAD-9507-A6CCFA54A360}" userId="3d975dd2d1797868"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Income" displayName="tblIncome" ref="B5:P11" totalsRowCount="1" headerRowDxfId="403" dataDxfId="402" totalsRowDxfId="401">
  <tableColumns count="15">
    <tableColumn id="1" xr3:uid="{00000000-0010-0000-0000-000001000000}" name="INCOME" totalsRowLabel="Total" dataDxfId="400" totalsRowDxfId="399"/>
    <tableColumn id="2" xr3:uid="{00000000-0010-0000-0000-000002000000}" name="JAN" totalsRowFunction="sum" dataDxfId="398" totalsRowDxfId="397"/>
    <tableColumn id="3" xr3:uid="{00000000-0010-0000-0000-000003000000}" name="FEB" totalsRowFunction="sum" dataDxfId="396" totalsRowDxfId="395"/>
    <tableColumn id="4" xr3:uid="{00000000-0010-0000-0000-000004000000}" name="MAR" totalsRowFunction="sum" dataDxfId="394" totalsRowDxfId="393"/>
    <tableColumn id="5" xr3:uid="{00000000-0010-0000-0000-000005000000}" name="APR" totalsRowFunction="sum" dataDxfId="392" totalsRowDxfId="391"/>
    <tableColumn id="6" xr3:uid="{00000000-0010-0000-0000-000006000000}" name="MAY" totalsRowFunction="sum" dataDxfId="390" totalsRowDxfId="389"/>
    <tableColumn id="7" xr3:uid="{00000000-0010-0000-0000-000007000000}" name="JUN" totalsRowFunction="sum" dataDxfId="388" totalsRowDxfId="387"/>
    <tableColumn id="8" xr3:uid="{00000000-0010-0000-0000-000008000000}" name="JUL" totalsRowFunction="sum" dataDxfId="386" totalsRowDxfId="385"/>
    <tableColumn id="9" xr3:uid="{00000000-0010-0000-0000-000009000000}" name="AUG" totalsRowFunction="sum" dataDxfId="384" totalsRowDxfId="383"/>
    <tableColumn id="10" xr3:uid="{00000000-0010-0000-0000-00000A000000}" name="SEP" totalsRowFunction="sum" dataDxfId="382" totalsRowDxfId="381"/>
    <tableColumn id="11" xr3:uid="{00000000-0010-0000-0000-00000B000000}" name="OCT" totalsRowFunction="sum" dataDxfId="380" totalsRowDxfId="379"/>
    <tableColumn id="12" xr3:uid="{00000000-0010-0000-0000-00000C000000}" name="NOV" totalsRowFunction="sum" dataDxfId="378" totalsRowDxfId="377"/>
    <tableColumn id="13" xr3:uid="{00000000-0010-0000-0000-00000D000000}" name="DEC" totalsRowFunction="sum" dataDxfId="376" totalsRowDxfId="375"/>
    <tableColumn id="14" xr3:uid="{00000000-0010-0000-0000-00000E000000}" name="YEAR" totalsRowFunction="sum" dataDxfId="374" totalsRowDxfId="373">
      <calculatedColumnFormula>SUM(tblIncome[[#This Row],[JAN]:[DEC]])</calculatedColumnFormula>
    </tableColumn>
    <tableColumn id="15" xr3:uid="{00000000-0010-0000-0000-00000F000000}" name="SPARKLINE" dataDxfId="372" totalsRowDxfId="371"/>
  </tableColumns>
  <tableStyleInfo name="Table Style 1" showFirstColumn="0" showLastColumn="0" showRowStripes="0" showColumnStripes="1"/>
  <extLst>
    <ext xmlns:x14="http://schemas.microsoft.com/office/spreadsheetml/2009/9/main" uri="{504A1905-F514-4f6f-8877-14C23A59335A}">
      <x14:table altText="Income" altTextSummary="Enter your income for the year."/>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Home" displayName="tblHome" ref="B14:P19" totalsRowCount="1" headerRowDxfId="370" dataDxfId="369" totalsRowDxfId="368">
  <tableColumns count="15">
    <tableColumn id="1" xr3:uid="{00000000-0010-0000-0100-000001000000}" name="HOME" totalsRowLabel="Total" dataDxfId="367" totalsRowDxfId="366"/>
    <tableColumn id="2" xr3:uid="{00000000-0010-0000-0100-000002000000}" name="JAN" totalsRowFunction="sum" dataDxfId="365" totalsRowDxfId="364"/>
    <tableColumn id="3" xr3:uid="{00000000-0010-0000-0100-000003000000}" name="FEB" totalsRowFunction="sum" dataDxfId="363" totalsRowDxfId="362"/>
    <tableColumn id="4" xr3:uid="{00000000-0010-0000-0100-000004000000}" name="MAR" totalsRowFunction="sum" dataDxfId="361" totalsRowDxfId="360"/>
    <tableColumn id="5" xr3:uid="{00000000-0010-0000-0100-000005000000}" name="APR" totalsRowFunction="sum" dataDxfId="359" totalsRowDxfId="358"/>
    <tableColumn id="6" xr3:uid="{00000000-0010-0000-0100-000006000000}" name="MAY" totalsRowFunction="sum" dataDxfId="357" totalsRowDxfId="356"/>
    <tableColumn id="7" xr3:uid="{00000000-0010-0000-0100-000007000000}" name="JUN" totalsRowFunction="sum" dataDxfId="355" totalsRowDxfId="354"/>
    <tableColumn id="8" xr3:uid="{00000000-0010-0000-0100-000008000000}" name="JUL" totalsRowFunction="sum" dataDxfId="353" totalsRowDxfId="352"/>
    <tableColumn id="9" xr3:uid="{00000000-0010-0000-0100-000009000000}" name="AUG" totalsRowFunction="sum" dataDxfId="351" totalsRowDxfId="350"/>
    <tableColumn id="10" xr3:uid="{00000000-0010-0000-0100-00000A000000}" name="SEP" totalsRowFunction="sum" dataDxfId="349" totalsRowDxfId="348"/>
    <tableColumn id="11" xr3:uid="{00000000-0010-0000-0100-00000B000000}" name="OCT" totalsRowFunction="sum" dataDxfId="347" totalsRowDxfId="346"/>
    <tableColumn id="12" xr3:uid="{00000000-0010-0000-0100-00000C000000}" name="NOV" totalsRowFunction="sum" dataDxfId="345" totalsRowDxfId="344"/>
    <tableColumn id="13" xr3:uid="{00000000-0010-0000-0100-00000D000000}" name="DEC" totalsRowFunction="sum" dataDxfId="343" totalsRowDxfId="342"/>
    <tableColumn id="14" xr3:uid="{00000000-0010-0000-0100-00000E000000}" name="YEAR" totalsRowFunction="sum" dataDxfId="341" totalsRowDxfId="340">
      <calculatedColumnFormula>SUM(tblHome[[#This Row],[JAN]:[DEC]])</calculatedColumnFormula>
    </tableColumn>
    <tableColumn id="15" xr3:uid="{00000000-0010-0000-0100-00000F000000}" name=" " dataDxfId="339" totalsRowDxfId="338"/>
  </tableColumns>
  <tableStyleInfo name="Table Style 1" showFirstColumn="0" showLastColumn="0" showRowStripes="0" showColumnStripes="1"/>
  <extLst>
    <ext xmlns:x14="http://schemas.microsoft.com/office/spreadsheetml/2009/9/main" uri="{504A1905-F514-4f6f-8877-14C23A59335A}">
      <x14:table altText="Home Expenses" altTextSummary="Enter your home expenses for the year, separated by month."/>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Daily" displayName="tblDaily" ref="B21:P26" totalsRowCount="1" headerRowDxfId="337" dataDxfId="336" totalsRowDxfId="335">
  <tableColumns count="15">
    <tableColumn id="1" xr3:uid="{00000000-0010-0000-0200-000001000000}" name="DAILY LIVING" totalsRowLabel="Total" dataDxfId="334" totalsRowDxfId="333"/>
    <tableColumn id="2" xr3:uid="{00000000-0010-0000-0200-000002000000}" name="JAN" totalsRowFunction="sum" dataDxfId="332" totalsRowDxfId="331"/>
    <tableColumn id="3" xr3:uid="{00000000-0010-0000-0200-000003000000}" name="FEB" totalsRowFunction="sum" dataDxfId="330" totalsRowDxfId="329"/>
    <tableColumn id="4" xr3:uid="{00000000-0010-0000-0200-000004000000}" name="MAR" totalsRowFunction="sum" dataDxfId="328" totalsRowDxfId="327"/>
    <tableColumn id="5" xr3:uid="{00000000-0010-0000-0200-000005000000}" name="APR" totalsRowFunction="sum" dataDxfId="326" totalsRowDxfId="325"/>
    <tableColumn id="6" xr3:uid="{00000000-0010-0000-0200-000006000000}" name="MAY" totalsRowFunction="sum" dataDxfId="324" totalsRowDxfId="323">
      <calculatedColumnFormula>6.43+15.8+19.53</calculatedColumnFormula>
    </tableColumn>
    <tableColumn id="7" xr3:uid="{00000000-0010-0000-0200-000007000000}" name="JUN" totalsRowFunction="sum" dataDxfId="322" totalsRowDxfId="321"/>
    <tableColumn id="8" xr3:uid="{00000000-0010-0000-0200-000008000000}" name="JUL" totalsRowFunction="sum" dataDxfId="320" totalsRowDxfId="319"/>
    <tableColumn id="9" xr3:uid="{00000000-0010-0000-0200-000009000000}" name="AUG" totalsRowFunction="sum" dataDxfId="318" totalsRowDxfId="317"/>
    <tableColumn id="10" xr3:uid="{00000000-0010-0000-0200-00000A000000}" name="SEP" totalsRowFunction="sum" dataDxfId="316" totalsRowDxfId="315"/>
    <tableColumn id="11" xr3:uid="{00000000-0010-0000-0200-00000B000000}" name="OCT" totalsRowFunction="sum" dataDxfId="314" totalsRowDxfId="313">
      <calculatedColumnFormula>42.94+8.32+11.88+1</calculatedColumnFormula>
    </tableColumn>
    <tableColumn id="12" xr3:uid="{00000000-0010-0000-0200-00000C000000}" name="NOV" totalsRowFunction="sum" dataDxfId="312" totalsRowDxfId="311">
      <calculatedColumnFormula>D135</calculatedColumnFormula>
    </tableColumn>
    <tableColumn id="13" xr3:uid="{00000000-0010-0000-0200-00000D000000}" name="DEC" totalsRowFunction="sum" dataDxfId="310" totalsRowDxfId="309">
      <calculatedColumnFormula>26.18</calculatedColumnFormula>
    </tableColumn>
    <tableColumn id="14" xr3:uid="{00000000-0010-0000-0200-00000E000000}" name="YEAR" totalsRowFunction="sum" dataDxfId="308" totalsRowDxfId="307">
      <calculatedColumnFormula>SUM(tblDaily[[#This Row],[JAN]:[DEC]])</calculatedColumnFormula>
    </tableColumn>
    <tableColumn id="15" xr3:uid="{00000000-0010-0000-0200-00000F000000}" name=" " dataDxfId="306" totalsRowDxfId="305"/>
  </tableColumns>
  <tableStyleInfo name="Table Style 1" showFirstColumn="0" showLastColumn="0" showRowStripes="0" showColumnStripes="1"/>
  <extLst>
    <ext xmlns:x14="http://schemas.microsoft.com/office/spreadsheetml/2009/9/main" uri="{504A1905-F514-4f6f-8877-14C23A59335A}">
      <x14:table altText="Daily Living Expenses" altTextSummary="Enter your daily living expenses for the year, separated by month."/>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Transportation" displayName="tblTransportation" ref="B28:P35" totalsRowCount="1" headerRowDxfId="304" dataDxfId="303" totalsRowDxfId="302">
  <tableColumns count="15">
    <tableColumn id="1" xr3:uid="{00000000-0010-0000-0300-000001000000}" name="TRANSPORTATION" totalsRowLabel="Total" dataDxfId="301" totalsRowDxfId="300"/>
    <tableColumn id="2" xr3:uid="{00000000-0010-0000-0300-000002000000}" name="JAN" totalsRowFunction="sum" dataDxfId="299" totalsRowDxfId="298"/>
    <tableColumn id="3" xr3:uid="{00000000-0010-0000-0300-000003000000}" name="FEB" totalsRowFunction="sum" dataDxfId="297" totalsRowDxfId="296"/>
    <tableColumn id="4" xr3:uid="{00000000-0010-0000-0300-000004000000}" name="MAR" totalsRowFunction="sum" dataDxfId="295" totalsRowDxfId="294"/>
    <tableColumn id="5" xr3:uid="{00000000-0010-0000-0300-000005000000}" name="APR" totalsRowFunction="sum" dataDxfId="293" totalsRowDxfId="292"/>
    <tableColumn id="6" xr3:uid="{00000000-0010-0000-0300-000006000000}" name="MAY" totalsRowFunction="sum" dataDxfId="291" totalsRowDxfId="290"/>
    <tableColumn id="7" xr3:uid="{00000000-0010-0000-0300-000007000000}" name="JUN" totalsRowFunction="sum" dataDxfId="289" totalsRowDxfId="288"/>
    <tableColumn id="8" xr3:uid="{00000000-0010-0000-0300-000008000000}" name="JUL" totalsRowFunction="sum" dataDxfId="287" totalsRowDxfId="286"/>
    <tableColumn id="9" xr3:uid="{00000000-0010-0000-0300-000009000000}" name="AUG" totalsRowFunction="sum" dataDxfId="285" totalsRowDxfId="284"/>
    <tableColumn id="10" xr3:uid="{00000000-0010-0000-0300-00000A000000}" name="SEP" totalsRowFunction="sum" dataDxfId="283" totalsRowDxfId="282"/>
    <tableColumn id="11" xr3:uid="{00000000-0010-0000-0300-00000B000000}" name="OCT" totalsRowFunction="sum" dataDxfId="281" totalsRowDxfId="280"/>
    <tableColumn id="12" xr3:uid="{00000000-0010-0000-0300-00000C000000}" name="NOV" totalsRowFunction="sum" dataDxfId="279" totalsRowDxfId="278"/>
    <tableColumn id="13" xr3:uid="{00000000-0010-0000-0300-00000D000000}" name="DEC" totalsRowFunction="sum" dataDxfId="277" totalsRowDxfId="276"/>
    <tableColumn id="14" xr3:uid="{00000000-0010-0000-0300-00000E000000}" name="YEAR" totalsRowFunction="sum" dataDxfId="275" totalsRowDxfId="274">
      <calculatedColumnFormula>SUM(tblTransportation[[#This Row],[JAN]:[DEC]])</calculatedColumnFormula>
    </tableColumn>
    <tableColumn id="15" xr3:uid="{00000000-0010-0000-0300-00000F000000}" name=" " dataDxfId="273" totalsRowDxfId="272"/>
  </tableColumns>
  <tableStyleInfo name="Table Style 1" showFirstColumn="0" showLastColumn="0" showRowStripes="0" showColumnStripes="1"/>
  <extLst>
    <ext xmlns:x14="http://schemas.microsoft.com/office/spreadsheetml/2009/9/main" uri="{504A1905-F514-4f6f-8877-14C23A59335A}">
      <x14:table altText="Transportation expenses" altTextSummary="Enter your transportation expenses for the year, separated by month."/>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Entertainment" displayName="tblEntertainment" ref="B37:P43" totalsRowCount="1" headerRowDxfId="271" dataDxfId="270" totalsRowDxfId="269">
  <tableColumns count="15">
    <tableColumn id="1" xr3:uid="{00000000-0010-0000-0400-000001000000}" name="ENTERTAINMENT/SUBSCRIPTION" totalsRowLabel="Total" dataDxfId="268" totalsRowDxfId="267"/>
    <tableColumn id="2" xr3:uid="{00000000-0010-0000-0400-000002000000}" name="JAN" totalsRowFunction="sum" dataDxfId="266" totalsRowDxfId="265"/>
    <tableColumn id="3" xr3:uid="{00000000-0010-0000-0400-000003000000}" name="FEB" totalsRowFunction="sum" dataDxfId="264" totalsRowDxfId="263"/>
    <tableColumn id="4" xr3:uid="{00000000-0010-0000-0400-000004000000}" name="MAR" totalsRowFunction="sum" dataDxfId="262" totalsRowDxfId="261"/>
    <tableColumn id="5" xr3:uid="{00000000-0010-0000-0400-000005000000}" name="APR" totalsRowFunction="sum" dataDxfId="260" totalsRowDxfId="259"/>
    <tableColumn id="6" xr3:uid="{00000000-0010-0000-0400-000006000000}" name="MAY" totalsRowFunction="sum" dataDxfId="258" totalsRowDxfId="257"/>
    <tableColumn id="7" xr3:uid="{00000000-0010-0000-0400-000007000000}" name="JUN" totalsRowFunction="sum" dataDxfId="256" totalsRowDxfId="255"/>
    <tableColumn id="8" xr3:uid="{00000000-0010-0000-0400-000008000000}" name="JUL" totalsRowFunction="sum" dataDxfId="254" totalsRowDxfId="253"/>
    <tableColumn id="9" xr3:uid="{00000000-0010-0000-0400-000009000000}" name="AUG" totalsRowFunction="sum" dataDxfId="252" totalsRowDxfId="251"/>
    <tableColumn id="10" xr3:uid="{00000000-0010-0000-0400-00000A000000}" name="SEP" totalsRowFunction="sum" dataDxfId="250" totalsRowDxfId="249"/>
    <tableColumn id="11" xr3:uid="{00000000-0010-0000-0400-00000B000000}" name="OCT" totalsRowFunction="sum" dataDxfId="248" totalsRowDxfId="247"/>
    <tableColumn id="12" xr3:uid="{00000000-0010-0000-0400-00000C000000}" name="NOV" totalsRowFunction="sum" dataDxfId="246" totalsRowDxfId="245"/>
    <tableColumn id="13" xr3:uid="{00000000-0010-0000-0400-00000D000000}" name="DEC" totalsRowFunction="sum" dataDxfId="244" totalsRowDxfId="243"/>
    <tableColumn id="14" xr3:uid="{00000000-0010-0000-0400-00000E000000}" name="YEAR" totalsRowFunction="sum" dataDxfId="242" totalsRowDxfId="241">
      <calculatedColumnFormula>SUM(tblEntertainment[[#This Row],[JAN]:[DEC]])</calculatedColumnFormula>
    </tableColumn>
    <tableColumn id="15" xr3:uid="{00000000-0010-0000-0400-00000F000000}" name=" " dataDxfId="240" totalsRowDxfId="239"/>
  </tableColumns>
  <tableStyleInfo name="Table Style 1" showFirstColumn="0" showLastColumn="0" showRowStripes="0" showColumnStripes="1"/>
  <extLst>
    <ext xmlns:x14="http://schemas.microsoft.com/office/spreadsheetml/2009/9/main" uri="{504A1905-F514-4f6f-8877-14C23A59335A}">
      <x14:table altText="Entertainment Expenses" altTextSummary="Enter your entertainment expenses for the year, separated by month."/>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Health" displayName="tblHealth" ref="B45:P49" totalsRowCount="1" headerRowDxfId="238" dataDxfId="237" totalsRowDxfId="236">
  <tableColumns count="15">
    <tableColumn id="1" xr3:uid="{00000000-0010-0000-0500-000001000000}" name="HEALTH" totalsRowLabel="Total" dataDxfId="235" totalsRowDxfId="234"/>
    <tableColumn id="2" xr3:uid="{00000000-0010-0000-0500-000002000000}" name="JAN" totalsRowFunction="sum" dataDxfId="233" totalsRowDxfId="232"/>
    <tableColumn id="3" xr3:uid="{00000000-0010-0000-0500-000003000000}" name="FEB" totalsRowFunction="sum" dataDxfId="231" totalsRowDxfId="230"/>
    <tableColumn id="4" xr3:uid="{00000000-0010-0000-0500-000004000000}" name="MAR" totalsRowFunction="sum" dataDxfId="229" totalsRowDxfId="228"/>
    <tableColumn id="5" xr3:uid="{00000000-0010-0000-0500-000005000000}" name="APR" totalsRowFunction="sum" dataDxfId="227" totalsRowDxfId="226"/>
    <tableColumn id="6" xr3:uid="{00000000-0010-0000-0500-000006000000}" name="MAY" totalsRowFunction="sum" dataDxfId="225" totalsRowDxfId="224"/>
    <tableColumn id="7" xr3:uid="{00000000-0010-0000-0500-000007000000}" name="JUN" totalsRowFunction="sum" dataDxfId="223" totalsRowDxfId="222"/>
    <tableColumn id="8" xr3:uid="{00000000-0010-0000-0500-000008000000}" name="JUL" totalsRowFunction="sum" dataDxfId="221" totalsRowDxfId="220"/>
    <tableColumn id="9" xr3:uid="{00000000-0010-0000-0500-000009000000}" name="AUG" totalsRowFunction="sum" dataDxfId="219" totalsRowDxfId="218"/>
    <tableColumn id="10" xr3:uid="{00000000-0010-0000-0500-00000A000000}" name="SEP" totalsRowFunction="sum" dataDxfId="217" totalsRowDxfId="216"/>
    <tableColumn id="11" xr3:uid="{00000000-0010-0000-0500-00000B000000}" name="OCT" totalsRowFunction="sum" dataDxfId="215" totalsRowDxfId="214"/>
    <tableColumn id="12" xr3:uid="{00000000-0010-0000-0500-00000C000000}" name="NOV" totalsRowFunction="sum" dataDxfId="213" totalsRowDxfId="212"/>
    <tableColumn id="13" xr3:uid="{00000000-0010-0000-0500-00000D000000}" name="DEC" totalsRowFunction="sum" dataDxfId="211" totalsRowDxfId="210"/>
    <tableColumn id="14" xr3:uid="{00000000-0010-0000-0500-00000E000000}" name="YEAR" totalsRowFunction="sum" dataDxfId="209" totalsRowDxfId="208">
      <calculatedColumnFormula>SUM(tblHealth[[#This Row],[JAN]:[DEC]])</calculatedColumnFormula>
    </tableColumn>
    <tableColumn id="15" xr3:uid="{00000000-0010-0000-0500-00000F000000}" name=" " dataDxfId="207" totalsRowDxfId="206"/>
  </tableColumns>
  <tableStyleInfo name="Table Style 1" showFirstColumn="0" showLastColumn="0" showRowStripes="0" showColumnStripes="1"/>
  <extLst>
    <ext xmlns:x14="http://schemas.microsoft.com/office/spreadsheetml/2009/9/main" uri="{504A1905-F514-4f6f-8877-14C23A59335A}">
      <x14:table altText="Health Expenses" altTextSummary="Enter your health expenses for the year, separated by month."/>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cations" displayName="tblVacations" ref="B51:P58" totalsRowCount="1" headerRowDxfId="205" dataDxfId="204" totalsRowDxfId="203">
  <tableColumns count="15">
    <tableColumn id="1" xr3:uid="{00000000-0010-0000-0600-000001000000}" name="VACATIONS" totalsRowLabel="Total" dataDxfId="202" totalsRowDxfId="201"/>
    <tableColumn id="2" xr3:uid="{00000000-0010-0000-0600-000002000000}" name="JAN" totalsRowFunction="sum" dataDxfId="200" totalsRowDxfId="199"/>
    <tableColumn id="3" xr3:uid="{00000000-0010-0000-0600-000003000000}" name="FEB" totalsRowFunction="sum" dataDxfId="198" totalsRowDxfId="197"/>
    <tableColumn id="4" xr3:uid="{00000000-0010-0000-0600-000004000000}" name="MAR" totalsRowFunction="sum" dataDxfId="196" totalsRowDxfId="195"/>
    <tableColumn id="5" xr3:uid="{00000000-0010-0000-0600-000005000000}" name="APR" totalsRowFunction="sum" dataDxfId="194" totalsRowDxfId="193"/>
    <tableColumn id="6" xr3:uid="{00000000-0010-0000-0600-000006000000}" name="MAY" totalsRowFunction="sum" dataDxfId="192" totalsRowDxfId="191"/>
    <tableColumn id="7" xr3:uid="{00000000-0010-0000-0600-000007000000}" name="JUN" totalsRowFunction="sum" dataDxfId="190" totalsRowDxfId="189"/>
    <tableColumn id="8" xr3:uid="{00000000-0010-0000-0600-000008000000}" name="JUL" totalsRowFunction="sum" dataDxfId="188" totalsRowDxfId="187"/>
    <tableColumn id="9" xr3:uid="{00000000-0010-0000-0600-000009000000}" name="AUG" totalsRowFunction="sum" dataDxfId="186" totalsRowDxfId="185"/>
    <tableColumn id="10" xr3:uid="{00000000-0010-0000-0600-00000A000000}" name="SEP" totalsRowFunction="sum" dataDxfId="184" totalsRowDxfId="183"/>
    <tableColumn id="11" xr3:uid="{00000000-0010-0000-0600-00000B000000}" name="OCT" totalsRowFunction="sum" dataDxfId="182" totalsRowDxfId="181"/>
    <tableColumn id="12" xr3:uid="{00000000-0010-0000-0600-00000C000000}" name="NOV" totalsRowFunction="sum" dataDxfId="180" totalsRowDxfId="179"/>
    <tableColumn id="13" xr3:uid="{00000000-0010-0000-0600-00000D000000}" name="DEC" totalsRowFunction="sum" dataDxfId="178" totalsRowDxfId="177"/>
    <tableColumn id="14" xr3:uid="{00000000-0010-0000-0600-00000E000000}" name="YEAR" totalsRowFunction="sum" dataDxfId="176" totalsRowDxfId="175">
      <calculatedColumnFormula>SUM(tblVacations[[#This Row],[JAN]:[DEC]])</calculatedColumnFormula>
    </tableColumn>
    <tableColumn id="15" xr3:uid="{00000000-0010-0000-0600-00000F000000}" name=" " dataDxfId="174" totalsRowDxfId="173"/>
  </tableColumns>
  <tableStyleInfo name="Table Style 1" showFirstColumn="0" showLastColumn="0" showRowStripes="0" showColumnStripes="1"/>
  <extLst>
    <ext xmlns:x14="http://schemas.microsoft.com/office/spreadsheetml/2009/9/main" uri="{504A1905-F514-4f6f-8877-14C23A59335A}">
      <x14:table altText="Vacation Expenses" altTextSummary="Enter your vacation expenses for the year, separated by month."/>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Recreation" displayName="tblRecreation" ref="B60:P65" totalsRowCount="1" headerRowDxfId="172" dataDxfId="171" totalsRowDxfId="170">
  <tableColumns count="15">
    <tableColumn id="1" xr3:uid="{00000000-0010-0000-0700-000001000000}" name="RECREATION" totalsRowLabel="Total" dataDxfId="169" totalsRowDxfId="168"/>
    <tableColumn id="2" xr3:uid="{00000000-0010-0000-0700-000002000000}" name="JAN" totalsRowFunction="sum" dataDxfId="167" totalsRowDxfId="166"/>
    <tableColumn id="3" xr3:uid="{00000000-0010-0000-0700-000003000000}" name="FEB" totalsRowFunction="sum" dataDxfId="165" totalsRowDxfId="164"/>
    <tableColumn id="4" xr3:uid="{00000000-0010-0000-0700-000004000000}" name="MAR" totalsRowFunction="sum" dataDxfId="163" totalsRowDxfId="162"/>
    <tableColumn id="5" xr3:uid="{00000000-0010-0000-0700-000005000000}" name="APR" totalsRowFunction="sum" dataDxfId="161" totalsRowDxfId="160"/>
    <tableColumn id="6" xr3:uid="{00000000-0010-0000-0700-000006000000}" name="MAY" totalsRowFunction="sum" dataDxfId="159" totalsRowDxfId="158"/>
    <tableColumn id="7" xr3:uid="{00000000-0010-0000-0700-000007000000}" name="JUN" totalsRowFunction="sum" dataDxfId="157" totalsRowDxfId="156"/>
    <tableColumn id="8" xr3:uid="{00000000-0010-0000-0700-000008000000}" name="JUL" totalsRowFunction="sum" dataDxfId="155" totalsRowDxfId="154"/>
    <tableColumn id="9" xr3:uid="{00000000-0010-0000-0700-000009000000}" name="AUG" totalsRowFunction="sum" dataDxfId="153" totalsRowDxfId="152"/>
    <tableColumn id="10" xr3:uid="{00000000-0010-0000-0700-00000A000000}" name="SEP" totalsRowFunction="sum" dataDxfId="151" totalsRowDxfId="150"/>
    <tableColumn id="11" xr3:uid="{00000000-0010-0000-0700-00000B000000}" name="OCT" totalsRowFunction="sum" dataDxfId="149" totalsRowDxfId="148"/>
    <tableColumn id="12" xr3:uid="{00000000-0010-0000-0700-00000C000000}" name="NOV" totalsRowFunction="sum" dataDxfId="147" totalsRowDxfId="146"/>
    <tableColumn id="13" xr3:uid="{00000000-0010-0000-0700-00000D000000}" name="DEC" totalsRowFunction="sum" dataDxfId="145" totalsRowDxfId="144"/>
    <tableColumn id="14" xr3:uid="{00000000-0010-0000-0700-00000E000000}" name="YEAR" totalsRowFunction="sum" dataDxfId="143" totalsRowDxfId="142">
      <calculatedColumnFormula>SUM(tblRecreation[[#This Row],[JAN]:[DEC]])</calculatedColumnFormula>
    </tableColumn>
    <tableColumn id="15" xr3:uid="{00000000-0010-0000-0700-00000F000000}" name=" " dataDxfId="141" totalsRowDxfId="140"/>
  </tableColumns>
  <tableStyleInfo name="Table Style 1" showFirstColumn="0" showLastColumn="0" showRowStripes="0" showColumnStripes="1"/>
  <extLst>
    <ext xmlns:x14="http://schemas.microsoft.com/office/spreadsheetml/2009/9/main" uri="{504A1905-F514-4f6f-8877-14C23A59335A}">
      <x14:table altText="Recreation Expenses" altTextSummary="Enter your recreation expenses for the year, separated by month."/>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Dues" displayName="tblDues" ref="B67:P70" totalsRowCount="1" headerRowDxfId="139" dataDxfId="138" totalsRowDxfId="137">
  <tableColumns count="15">
    <tableColumn id="1" xr3:uid="{00000000-0010-0000-0800-000001000000}" name="DUES/SUBSCRIPTION" totalsRowLabel="Total" dataDxfId="136" totalsRowDxfId="135"/>
    <tableColumn id="2" xr3:uid="{00000000-0010-0000-0800-000002000000}" name="JAN" totalsRowFunction="sum" dataDxfId="134" totalsRowDxfId="133">
      <calculatedColumnFormula>15+30</calculatedColumnFormula>
    </tableColumn>
    <tableColumn id="3" xr3:uid="{00000000-0010-0000-0800-000003000000}" name="FEB" totalsRowFunction="sum" dataDxfId="132" totalsRowDxfId="131"/>
    <tableColumn id="4" xr3:uid="{00000000-0010-0000-0800-000004000000}" name="MAR" totalsRowFunction="sum" dataDxfId="130" totalsRowDxfId="129"/>
    <tableColumn id="5" xr3:uid="{00000000-0010-0000-0800-000005000000}" name="APR" totalsRowFunction="sum" dataDxfId="128" totalsRowDxfId="127"/>
    <tableColumn id="6" xr3:uid="{00000000-0010-0000-0800-000006000000}" name="MAY" totalsRowFunction="sum" dataDxfId="126" totalsRowDxfId="125"/>
    <tableColumn id="7" xr3:uid="{00000000-0010-0000-0800-000007000000}" name="JUN" totalsRowFunction="sum" dataDxfId="124" totalsRowDxfId="123"/>
    <tableColumn id="8" xr3:uid="{00000000-0010-0000-0800-000008000000}" name="JUL" totalsRowFunction="sum" dataDxfId="122" totalsRowDxfId="121"/>
    <tableColumn id="9" xr3:uid="{00000000-0010-0000-0800-000009000000}" name="AUG" totalsRowFunction="sum" dataDxfId="120" totalsRowDxfId="119"/>
    <tableColumn id="10" xr3:uid="{00000000-0010-0000-0800-00000A000000}" name="SEP" totalsRowFunction="sum" dataDxfId="118" totalsRowDxfId="117">
      <calculatedColumnFormula>0</calculatedColumnFormula>
    </tableColumn>
    <tableColumn id="11" xr3:uid="{00000000-0010-0000-0800-00000B000000}" name="OCT" totalsRowFunction="sum" dataDxfId="116" totalsRowDxfId="115"/>
    <tableColumn id="12" xr3:uid="{00000000-0010-0000-0800-00000C000000}" name="NOV" totalsRowFunction="sum" dataDxfId="114" totalsRowDxfId="113"/>
    <tableColumn id="13" xr3:uid="{00000000-0010-0000-0800-00000D000000}" name="DEC" totalsRowFunction="sum" dataDxfId="112" totalsRowDxfId="111"/>
    <tableColumn id="14" xr3:uid="{00000000-0010-0000-0800-00000E000000}" name="YEAR" totalsRowFunction="sum" dataDxfId="110" totalsRowDxfId="109">
      <calculatedColumnFormula>SUM(tblDues[[#This Row],[JAN]:[DEC]])</calculatedColumnFormula>
    </tableColumn>
    <tableColumn id="15" xr3:uid="{00000000-0010-0000-0800-00000F000000}" name=" " dataDxfId="108" totalsRowDxfId="107"/>
  </tableColumns>
  <tableStyleInfo name="Table Style 1" showFirstColumn="0" showLastColumn="0" showRowStripes="0" showColumnStripes="1"/>
  <extLst>
    <ext xmlns:x14="http://schemas.microsoft.com/office/spreadsheetml/2009/9/main" uri="{504A1905-F514-4f6f-8877-14C23A59335A}">
      <x14:table altText="Dues &amp; Subscription Expenses" altTextSummary="Enter your dues &amp; subscription expenses for the year, separated by month."/>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Personal" displayName="tblPersonal" ref="B72:P78" totalsRowCount="1" headerRowDxfId="106" dataDxfId="105" totalsRowDxfId="104">
  <tableColumns count="15">
    <tableColumn id="1" xr3:uid="{00000000-0010-0000-0900-000001000000}" name="PERSONAL" totalsRowLabel="Total" dataDxfId="103" totalsRowDxfId="102"/>
    <tableColumn id="2" xr3:uid="{00000000-0010-0000-0900-000002000000}" name="JAN" totalsRowFunction="sum" dataDxfId="101" totalsRowDxfId="100"/>
    <tableColumn id="3" xr3:uid="{00000000-0010-0000-0900-000003000000}" name="FEB" totalsRowFunction="sum" dataDxfId="99" totalsRowDxfId="98"/>
    <tableColumn id="4" xr3:uid="{00000000-0010-0000-0900-000004000000}" name="MAR" totalsRowFunction="sum" dataDxfId="97" totalsRowDxfId="96"/>
    <tableColumn id="5" xr3:uid="{00000000-0010-0000-0900-000005000000}" name="APR" totalsRowFunction="sum" dataDxfId="95" totalsRowDxfId="94">
      <calculatedColumnFormula>111.87</calculatedColumnFormula>
    </tableColumn>
    <tableColumn id="6" xr3:uid="{00000000-0010-0000-0900-000006000000}" name="MAY" totalsRowFunction="sum" dataDxfId="93" totalsRowDxfId="92"/>
    <tableColumn id="7" xr3:uid="{00000000-0010-0000-0900-000007000000}" name="JUN" totalsRowFunction="sum" dataDxfId="91" totalsRowDxfId="90"/>
    <tableColumn id="8" xr3:uid="{00000000-0010-0000-0900-000008000000}" name="JUL" totalsRowFunction="sum" dataDxfId="89" totalsRowDxfId="88"/>
    <tableColumn id="9" xr3:uid="{00000000-0010-0000-0900-000009000000}" name="AUG" totalsRowFunction="sum" dataDxfId="87" totalsRowDxfId="86"/>
    <tableColumn id="10" xr3:uid="{00000000-0010-0000-0900-00000A000000}" name="SEP" totalsRowFunction="sum" dataDxfId="85" totalsRowDxfId="84"/>
    <tableColumn id="11" xr3:uid="{00000000-0010-0000-0900-00000B000000}" name="OCT" totalsRowFunction="sum" dataDxfId="83" totalsRowDxfId="82"/>
    <tableColumn id="12" xr3:uid="{00000000-0010-0000-0900-00000C000000}" name="NOV" totalsRowFunction="sum" dataDxfId="81" totalsRowDxfId="80"/>
    <tableColumn id="13" xr3:uid="{00000000-0010-0000-0900-00000D000000}" name="DEC" totalsRowFunction="sum" dataDxfId="79" totalsRowDxfId="78"/>
    <tableColumn id="14" xr3:uid="{00000000-0010-0000-0900-00000E000000}" name="YEAR" totalsRowFunction="sum" dataDxfId="77" totalsRowDxfId="76">
      <calculatedColumnFormula>SUM(tblPersonal[[#This Row],[JAN]:[DEC]])</calculatedColumnFormula>
    </tableColumn>
    <tableColumn id="15" xr3:uid="{00000000-0010-0000-0900-00000F000000}" name=" " dataDxfId="75" totalsRowDxfId="74"/>
  </tableColumns>
  <tableStyleInfo name="Table Style 1" showFirstColumn="0" showLastColumn="0" showRowStripes="0" showColumnStripes="1"/>
  <extLst>
    <ext xmlns:x14="http://schemas.microsoft.com/office/spreadsheetml/2009/9/main" uri="{504A1905-F514-4f6f-8877-14C23A59335A}">
      <x14:table altText="Personal Expenses" altTextSummary="Enter your personal expenses for the year, separated by month."/>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Financial" displayName="tblFinancial" ref="B80:P86" totalsRowCount="1" headerRowDxfId="73" dataDxfId="72" totalsRowDxfId="71">
  <tableColumns count="15">
    <tableColumn id="1" xr3:uid="{00000000-0010-0000-0A00-000001000000}" name="FINANCIAL OBLIGATIONS" totalsRowLabel="Total" dataDxfId="70" totalsRowDxfId="69"/>
    <tableColumn id="2" xr3:uid="{00000000-0010-0000-0A00-000002000000}" name="JAN" totalsRowFunction="sum" dataDxfId="68" totalsRowDxfId="67"/>
    <tableColumn id="3" xr3:uid="{00000000-0010-0000-0A00-000003000000}" name="FEB" totalsRowFunction="sum" dataDxfId="66" totalsRowDxfId="65"/>
    <tableColumn id="4" xr3:uid="{00000000-0010-0000-0A00-000004000000}" name="MAR" totalsRowFunction="sum" dataDxfId="64" totalsRowDxfId="63"/>
    <tableColumn id="5" xr3:uid="{00000000-0010-0000-0A00-000005000000}" name="APR" totalsRowFunction="sum" dataDxfId="62" totalsRowDxfId="61"/>
    <tableColumn id="6" xr3:uid="{00000000-0010-0000-0A00-000006000000}" name="MAY" totalsRowFunction="sum" dataDxfId="60" totalsRowDxfId="59"/>
    <tableColumn id="7" xr3:uid="{00000000-0010-0000-0A00-000007000000}" name="JUN" totalsRowFunction="sum" dataDxfId="58" totalsRowDxfId="57"/>
    <tableColumn id="8" xr3:uid="{00000000-0010-0000-0A00-000008000000}" name="JUL" totalsRowFunction="sum" dataDxfId="56" totalsRowDxfId="55"/>
    <tableColumn id="9" xr3:uid="{00000000-0010-0000-0A00-000009000000}" name="AUG" totalsRowFunction="sum" dataDxfId="54" totalsRowDxfId="53"/>
    <tableColumn id="10" xr3:uid="{00000000-0010-0000-0A00-00000A000000}" name="SEP" totalsRowFunction="sum" dataDxfId="52" totalsRowDxfId="51"/>
    <tableColumn id="11" xr3:uid="{00000000-0010-0000-0A00-00000B000000}" name="OCT" totalsRowFunction="sum" dataDxfId="50" totalsRowDxfId="49"/>
    <tableColumn id="12" xr3:uid="{00000000-0010-0000-0A00-00000C000000}" name="NOV" totalsRowFunction="sum" dataDxfId="48" totalsRowDxfId="47"/>
    <tableColumn id="13" xr3:uid="{00000000-0010-0000-0A00-00000D000000}" name="DEC" totalsRowFunction="sum" dataDxfId="46" totalsRowDxfId="45"/>
    <tableColumn id="14" xr3:uid="{00000000-0010-0000-0A00-00000E000000}" name="YEAR" totalsRowFunction="sum" dataDxfId="44" totalsRowDxfId="43">
      <calculatedColumnFormula>SUM(tblFinancial[[#This Row],[JAN]:[DEC]])</calculatedColumnFormula>
    </tableColumn>
    <tableColumn id="15" xr3:uid="{00000000-0010-0000-0A00-00000F000000}" name=" " dataDxfId="42" totalsRowDxfId="41"/>
  </tableColumns>
  <tableStyleInfo name="Table Style 1" showFirstColumn="0" showLastColumn="0" showRowStripes="0" showColumnStripes="1"/>
  <extLst>
    <ext xmlns:x14="http://schemas.microsoft.com/office/spreadsheetml/2009/9/main" uri="{504A1905-F514-4f6f-8877-14C23A59335A}">
      <x14:table altText="Financial Expenses" altTextSummary="Enter your financial expenses for the year, separated by month."/>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Misc" displayName="tblMisc" ref="B88:P94" totalsRowCount="1" headerRowDxfId="40" dataDxfId="39" totalsRowDxfId="38">
  <tableColumns count="15">
    <tableColumn id="1" xr3:uid="{00000000-0010-0000-0B00-000001000000}" name="MISC PAYMENTS" totalsRowLabel="Total" dataDxfId="37" totalsRowDxfId="36"/>
    <tableColumn id="2" xr3:uid="{00000000-0010-0000-0B00-000002000000}" name="JAN" totalsRowFunction="sum" dataDxfId="35" totalsRowDxfId="34"/>
    <tableColumn id="3" xr3:uid="{00000000-0010-0000-0B00-000003000000}" name="FEB" totalsRowFunction="sum" totalsRowDxfId="33"/>
    <tableColumn id="4" xr3:uid="{00000000-0010-0000-0B00-000004000000}" name="MAR" totalsRowFunction="sum" totalsRowDxfId="32"/>
    <tableColumn id="5" xr3:uid="{00000000-0010-0000-0B00-000005000000}" name="APR" totalsRowFunction="sum" totalsRowDxfId="31"/>
    <tableColumn id="6" xr3:uid="{00000000-0010-0000-0B00-000006000000}" name="MAY" totalsRowFunction="sum" totalsRowDxfId="30"/>
    <tableColumn id="7" xr3:uid="{00000000-0010-0000-0B00-000007000000}" name="JUN" totalsRowFunction="custom" totalsRowDxfId="29">
      <totalsRowFormula>SUBTOTAL(109,tblMisc[JUN])-1129.98</totalsRowFormula>
    </tableColumn>
    <tableColumn id="8" xr3:uid="{00000000-0010-0000-0B00-000008000000}" name="JUL" totalsRowFunction="sum" totalsRowDxfId="28"/>
    <tableColumn id="9" xr3:uid="{00000000-0010-0000-0B00-000009000000}" name="AUG" totalsRowFunction="sum" totalsRowDxfId="27"/>
    <tableColumn id="10" xr3:uid="{00000000-0010-0000-0B00-00000A000000}" name="SEP" totalsRowFunction="sum" totalsRowDxfId="26"/>
    <tableColumn id="11" xr3:uid="{00000000-0010-0000-0B00-00000B000000}" name="OCT" totalsRowFunction="sum" totalsRowDxfId="25"/>
    <tableColumn id="12" xr3:uid="{00000000-0010-0000-0B00-00000C000000}" name="NOV" totalsRowFunction="sum" totalsRowDxfId="24"/>
    <tableColumn id="13" xr3:uid="{00000000-0010-0000-0B00-00000D000000}" name="DEC" totalsRowFunction="sum" dataDxfId="23" totalsRowDxfId="22">
      <calculatedColumnFormula>28.25*2</calculatedColumnFormula>
    </tableColumn>
    <tableColumn id="14" xr3:uid="{00000000-0010-0000-0B00-00000E000000}" name="YEAR" totalsRowFunction="sum" dataDxfId="21" totalsRowDxfId="20">
      <calculatedColumnFormula>SUM(tblMisc[[#This Row],[JAN]:[DEC]])</calculatedColumnFormula>
    </tableColumn>
    <tableColumn id="15" xr3:uid="{00000000-0010-0000-0B00-00000F000000}" name=" " dataDxfId="19" totalsRowDxfId="18"/>
  </tableColumns>
  <tableStyleInfo name="Table Style 1" showFirstColumn="0" showLastColumn="0" showRowStripes="0" showColumnStripes="1"/>
  <extLst>
    <ext xmlns:x14="http://schemas.microsoft.com/office/spreadsheetml/2009/9/main" uri="{504A1905-F514-4f6f-8877-14C23A59335A}">
      <x14:table altText="Misc Expenses" altTextSummary="Enter your miscellaneous expenses for the year, separated by month."/>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Totals" displayName="tblTotals" ref="B96:P98" totalsRowShown="0" headerRowDxfId="17" dataDxfId="16" headerRowCellStyle="Heading 3">
  <tableColumns count="15">
    <tableColumn id="1" xr3:uid="{00000000-0010-0000-0C00-000001000000}" name="TOTALS" dataDxfId="15"/>
    <tableColumn id="2" xr3:uid="{00000000-0010-0000-0C00-000002000000}" name="JAN" dataDxfId="14">
      <calculatedColumnFormula>tblIncome[[#Totals],[JAN]]-C96</calculatedColumnFormula>
    </tableColumn>
    <tableColumn id="3" xr3:uid="{00000000-0010-0000-0C00-000003000000}" name="FEB" dataDxfId="13">
      <calculatedColumnFormula>tblIncome[[#Totals],[FEB]]-D96</calculatedColumnFormula>
    </tableColumn>
    <tableColumn id="4" xr3:uid="{00000000-0010-0000-0C00-000004000000}" name="MAR" dataDxfId="12">
      <calculatedColumnFormula>tblIncome[[#Totals],[MAR]]-E96</calculatedColumnFormula>
    </tableColumn>
    <tableColumn id="5" xr3:uid="{00000000-0010-0000-0C00-000005000000}" name="APR" dataDxfId="11">
      <calculatedColumnFormula>tblIncome[[#Totals],[APR]]-F96</calculatedColumnFormula>
    </tableColumn>
    <tableColumn id="6" xr3:uid="{00000000-0010-0000-0C00-000006000000}" name="MAY" dataDxfId="10">
      <calculatedColumnFormula>tblIncome[[#Totals],[MAY]]-G96</calculatedColumnFormula>
    </tableColumn>
    <tableColumn id="7" xr3:uid="{00000000-0010-0000-0C00-000007000000}" name="JUN" dataDxfId="9">
      <calculatedColumnFormula>tblIncome[[#Totals],[JUN]]-H96</calculatedColumnFormula>
    </tableColumn>
    <tableColumn id="8" xr3:uid="{00000000-0010-0000-0C00-000008000000}" name="JUL" dataDxfId="8">
      <calculatedColumnFormula>tblIncome[[#Totals],[JUL]]-I96</calculatedColumnFormula>
    </tableColumn>
    <tableColumn id="9" xr3:uid="{00000000-0010-0000-0C00-000009000000}" name="AUG" dataDxfId="7">
      <calculatedColumnFormula>tblIncome[[#Totals],[AUG]]-J96</calculatedColumnFormula>
    </tableColumn>
    <tableColumn id="10" xr3:uid="{00000000-0010-0000-0C00-00000A000000}" name="SEP" dataDxfId="6">
      <calculatedColumnFormula>tblIncome[[#Totals],[SEP]]-K96</calculatedColumnFormula>
    </tableColumn>
    <tableColumn id="11" xr3:uid="{00000000-0010-0000-0C00-00000B000000}" name="OCT" dataDxfId="5">
      <calculatedColumnFormula>tblIncome[[#Totals],[OCT]]-L96</calculatedColumnFormula>
    </tableColumn>
    <tableColumn id="12" xr3:uid="{00000000-0010-0000-0C00-00000C000000}" name="NOV" dataDxfId="4">
      <calculatedColumnFormula>tblIncome[[#Totals],[NOV]]-M96</calculatedColumnFormula>
    </tableColumn>
    <tableColumn id="13" xr3:uid="{00000000-0010-0000-0C00-00000D000000}" name="DEC" dataDxfId="3">
      <calculatedColumnFormula>tblIncome[[#Totals],[DEC]]-N96</calculatedColumnFormula>
    </tableColumn>
    <tableColumn id="14" xr3:uid="{00000000-0010-0000-0C00-00000E000000}" name="YEAR" dataDxfId="2">
      <calculatedColumnFormula>tblIncome[[#Totals],[YEAR]]-O96</calculatedColumnFormula>
    </tableColumn>
    <tableColumn id="15" xr3:uid="{00000000-0010-0000-0C00-00000F000000}" name=" " dataDxfId="1"/>
  </tableColumns>
  <tableStyleInfo showFirstColumn="1" showLastColumn="0" showRowStripes="0" showColumnStripes="1"/>
  <extLst>
    <ext xmlns:x14="http://schemas.microsoft.com/office/spreadsheetml/2009/9/main" uri="{504A1905-F514-4f6f-8877-14C23A59335A}">
      <x14:table altText="Totals" altTextSummary="View your totals for the year, separated by month."/>
    </ext>
  </extLst>
</table>
</file>

<file path=xl/theme/theme1.xml><?xml version="1.0" encoding="utf-8"?>
<a:theme xmlns:a="http://schemas.openxmlformats.org/drawingml/2006/main" name="Office Theme">
  <a:themeElements>
    <a:clrScheme name="TM04035483-v1">
      <a:dk1>
        <a:srgbClr val="000000"/>
      </a:dk1>
      <a:lt1>
        <a:srgbClr val="FFFFFF"/>
      </a:lt1>
      <a:dk2>
        <a:srgbClr val="004C4B"/>
      </a:dk2>
      <a:lt2>
        <a:srgbClr val="E7E6E6"/>
      </a:lt2>
      <a:accent1>
        <a:srgbClr val="007F80"/>
      </a:accent1>
      <a:accent2>
        <a:srgbClr val="B2D8D7"/>
      </a:accent2>
      <a:accent3>
        <a:srgbClr val="FDF8F3"/>
      </a:accent3>
      <a:accent4>
        <a:srgbClr val="FEBF00"/>
      </a:accent4>
      <a:accent5>
        <a:srgbClr val="FFE501"/>
      </a:accent5>
      <a:accent6>
        <a:srgbClr val="836C5A"/>
      </a:accent6>
      <a:hlink>
        <a:srgbClr val="0563C1"/>
      </a:hlink>
      <a:folHlink>
        <a:srgbClr val="954F72"/>
      </a:folHlink>
    </a:clrScheme>
    <a:fontScheme name="Custom 13">
      <a:majorFont>
        <a:latin typeface="Gill Sans MT"/>
        <a:ea typeface=""/>
        <a:cs typeface=""/>
      </a:majorFont>
      <a:minorFont>
        <a:latin typeface="verdana"/>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0" dT="2025-02-11T04:01:36.04" personId="{DAEF4763-1EE2-4AAD-9507-A6CCFA54A360}" id="{8F2805CE-97DC-4A23-8B09-B99F976F2808}">
    <text>CRA+ desk tray +</text>
  </threadedComment>
  <threadedComment ref="E10" dT="2025-03-18T00:45:27.40" personId="{DAEF4763-1EE2-4AAD-9507-A6CCFA54A360}" id="{977F23E5-2F20-4E1A-8AFE-7F8DEF11DB23}">
    <text>Amer E-Transfer</text>
  </threadedComment>
  <threadedComment ref="M25" dT="2025-11-03T06:25:20.24" personId="{DAEF4763-1EE2-4AAD-9507-A6CCFA54A360}" id="{109AE68C-200B-410C-9BF1-AFD8CD1FB621}">
    <text xml:space="preserve">Corner Shelf </text>
  </threadedComment>
  <threadedComment ref="N31" dT="2024-12-11T03:00:02.74" personId="{DAEF4763-1EE2-4AAD-9507-A6CCFA54A360}" id="{A4110101-4170-4931-9E79-B6B592052B65}">
    <text xml:space="preserve">Winter tires
</text>
  </threadedComment>
  <threadedComment ref="D34" dT="2025-02-17T02:05:45.95" personId="{DAEF4763-1EE2-4AAD-9507-A6CCFA54A360}" id="{3119A31B-C1A1-4F41-8303-8277740F99D1}">
    <text>cable</text>
  </threadedComment>
  <threadedComment ref="F48" dT="2025-04-29T23:05:56.75" personId="{DAEF4763-1EE2-4AAD-9507-A6CCFA54A360}" id="{829F3E5C-B855-49A5-93C4-150967A2A619}">
    <text xml:space="preserve">Eye exam + glasses </text>
  </threadedComment>
  <threadedComment ref="D57" dT="2025-02-17T02:02:05.46" personId="{DAEF4763-1EE2-4AAD-9507-A6CCFA54A360}" id="{D7974DC5-096A-4953-8F13-89C343F98F79}">
    <text xml:space="preserve">2 x pro 9 </text>
  </threadedComment>
  <threadedComment ref="D64" dT="2025-02-17T02:08:21.99" personId="{DAEF4763-1EE2-4AAD-9507-A6CCFA54A360}" id="{F280F5E8-8A41-4AAD-A954-DD42FBF363CA}">
    <text>protein</text>
  </threadedComment>
  <threadedComment ref="F64" dT="2025-04-14T01:30:18.20" personId="{DAEF4763-1EE2-4AAD-9507-A6CCFA54A360}" id="{2C8C83A7-CF62-4CDA-A942-9291B09BAABA}">
    <text>Creatine</text>
  </threadedComment>
  <threadedComment ref="E69" dT="2025-03-18T00:27:27.54" personId="{DAEF4763-1EE2-4AAD-9507-A6CCFA54A360}" id="{5C91EC0D-9D88-4C19-8F25-4A1A86B13AB4}">
    <text>Ftart 3and louwled (adonis + lazar )</text>
  </threadedComment>
  <threadedComment ref="F73" dT="2025-04-14T01:26:57.55" personId="{DAEF4763-1EE2-4AAD-9507-A6CCFA54A360}" id="{47FF754D-6736-4FE8-9C56-9C6D832637A7}">
    <text xml:space="preserve">Guess jacket 
</text>
  </threadedComment>
  <threadedComment ref="F76" dT="2025-04-26T01:43:29.65" personId="{DAEF4763-1EE2-4AAD-9507-A6CCFA54A360}" id="{33D1FFD0-1FC1-40FD-8F8C-5A85031E91B2}">
    <text xml:space="preserve">Vpn
</text>
  </threadedComment>
  <threadedComment ref="C77" dT="2025-01-31T20:59:31.54" personId="{DAEF4763-1EE2-4AAD-9507-A6CCFA54A360}" id="{E22D3969-3FB3-42BB-A2DB-943B39B2A3F8}">
    <text xml:space="preserve">Earpods </text>
  </threadedComment>
  <threadedComment ref="E77" dT="2025-03-18T00:46:48.67" personId="{DAEF4763-1EE2-4AAD-9507-A6CCFA54A360}" id="{2257069D-CCCB-4177-98B4-FDB7342DD9CD}">
    <text xml:space="preserve">Air fryer </text>
  </threadedComment>
  <threadedComment ref="E77" dT="2025-03-29T04:45:16.44" personId="{DAEF4763-1EE2-4AAD-9507-A6CCFA54A360}" id="{0F177B73-AB71-41DD-9E03-5E7685B39C1D}" parentId="{2257069D-CCCB-4177-98B4-FDB7342DD9CD}">
    <text xml:space="preserve">9 pro case </text>
  </threadedComment>
  <threadedComment ref="F77" dT="2025-04-14T01:37:36.31" personId="{DAEF4763-1EE2-4AAD-9507-A6CCFA54A360}" id="{52900D6B-186E-44A3-B61F-965A66F3C5CD}">
    <text xml:space="preserve">misxeur + des moules + airfrayer silicone 
</text>
  </threadedComment>
  <threadedComment ref="G77" dT="2025-05-05T03:57:13.54" personId="{DAEF4763-1EE2-4AAD-9507-A6CCFA54A360}" id="{2B4647B7-985D-49A8-9EB5-166564115FEF}">
    <text>Valise</text>
  </threadedComment>
  <threadedComment ref="D81" dT="2025-02-17T02:13:48.46" personId="{DAEF4763-1EE2-4AAD-9507-A6CCFA54A360}" id="{4D39B671-DBA3-48DB-9437-22506D5A3DBF}">
    <text>crypto</text>
  </threadedComment>
  <threadedComment ref="D89" dT="2025-02-21T21:43:26.79" personId="{DAEF4763-1EE2-4AAD-9507-A6CCFA54A360}" id="{ACAD63A2-ACAE-4A83-AA40-1586059D0559}">
    <text xml:space="preserve">Rbc fees
</text>
  </threadedComment>
  <threadedComment ref="E89" dT="2025-03-04T13:33:25.52" personId="{DAEF4763-1EE2-4AAD-9507-A6CCFA54A360}" id="{23844D80-3D8A-45C9-B5B6-361F4A5CFA4E}">
    <text>tcf</text>
  </threadedComment>
  <threadedComment ref="L89" dT="2025-10-04T03:25:30.33" personId="{DAEF4763-1EE2-4AAD-9507-A6CCFA54A360}" id="{4FEEF43E-81E4-4D5A-BEC1-CB988714D22A}">
    <text xml:space="preserve">Laptop battery + parking </text>
  </threadedComment>
  <threadedComment ref="L89" dT="2025-11-02T18:56:13.62" personId="{DAEF4763-1EE2-4AAD-9507-A6CCFA54A360}" id="{A3AF98EB-2731-41D1-8FAB-1BD2E494CDF0}" parentId="{4FEEF43E-81E4-4D5A-BEC1-CB988714D22A}">
    <text xml:space="preserve">+ PC 
</text>
  </threadedComment>
  <threadedComment ref="M89" dT="2025-11-03T06:28:39.92" personId="{DAEF4763-1EE2-4AAD-9507-A6CCFA54A360}" id="{368B648B-A171-484D-998D-27151F5562AC}">
    <text xml:space="preserve">proton vpn </text>
  </threadedComment>
  <threadedComment ref="M89" dT="2025-11-03T20:59:57.92" personId="{DAEF4763-1EE2-4AAD-9507-A6CCFA54A360}" id="{5FFF768A-E806-4538-8919-2DB3D9A53942}" parentId="{368B648B-A171-484D-998D-27151F5562AC}">
    <text xml:space="preserve">disque dure </text>
  </threadedComment>
  <threadedComment ref="F90" dT="2025-05-03T20:07:28.47" personId="{DAEF4763-1EE2-4AAD-9507-A6CCFA54A360}" id="{AC0E7CE7-7788-4C86-B894-4E32024567DB}">
    <text xml:space="preserve">Ring+phones
</text>
  </threadedComment>
  <threadedComment ref="L90" dT="2025-10-10T02:40:15.50" personId="{DAEF4763-1EE2-4AAD-9507-A6CCFA54A360}" id="{93FB8DC3-C189-4681-AE36-9D0EA2FABF96}">
    <text xml:space="preserve">Lawyer </text>
  </threadedComment>
  <threadedComment ref="D91" dT="2025-02-25T04:21:04.93" personId="{DAEF4763-1EE2-4AAD-9507-A6CCFA54A360}" id="{8499FC68-E8DA-419B-97C5-1A23557BAAF6}">
    <text xml:space="preserve">KuCoin 
</text>
  </threadedComment>
  <threadedComment ref="F91" dT="2025-04-04T13:19:22.08" personId="{DAEF4763-1EE2-4AAD-9507-A6CCFA54A360}" id="{0C218C77-F20F-493C-8689-42EED264BCA2}">
    <text>TAX Yazan</text>
  </threadedComment>
  <threadedComment ref="L91" dT="2025-10-21T01:58:40.27" personId="{DAEF4763-1EE2-4AAD-9507-A6CCFA54A360}" id="{75AA771B-3EB3-4A25-8BF6-DB9294099117}">
    <text xml:space="preserve">Lawyer </text>
  </threadedComment>
  <threadedComment ref="M91" dT="2025-11-03T06:57:57.87" personId="{DAEF4763-1EE2-4AAD-9507-A6CCFA54A360}" id="{A0ADE4A0-21A1-4A7C-B89A-95461550AD1B}">
    <text>TCF</text>
  </threadedComment>
  <threadedComment ref="L92" dT="2025-10-21T01:51:48.24" personId="{DAEF4763-1EE2-4AAD-9507-A6CCFA54A360}" id="{D27EC473-C785-41FE-9B3F-668C1493892D}">
    <text xml:space="preserve">Montreal ticket </text>
  </threadedComment>
  <threadedComment ref="N92" dT="2025-12-26T16:09:09.57" personId="{DAEF4763-1EE2-4AAD-9507-A6CCFA54A360}" id="{32FD9B70-8423-481A-8082-F183D0E22583}">
    <text xml:space="preserve">cc fees </text>
  </threadedComment>
  <threadedComment ref="L93" dT="2025-10-23T22:27:37.65" personId="{A7C6D820-F248-46A9-927B-62D04D22E457}" id="{4AE0E17C-59F2-4614-A190-88B89B7EFB7F}">
    <text xml:space="preserve">CRA Manulife tax </text>
  </threadedComment>
  <threadedComment ref="M93" dT="2025-11-06T02:36:54.72" personId="{DAEF4763-1EE2-4AAD-9507-A6CCFA54A360}" id="{54E89EC3-0723-437D-9C7E-1939DD77EF77}">
    <text xml:space="preserve">Mohamed Lybia </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17" Type="http://schemas.microsoft.com/office/2017/10/relationships/threadedComment" Target="../threadedComments/threadedComment1.xml"/><Relationship Id="rId2" Type="http://schemas.openxmlformats.org/officeDocument/2006/relationships/vmlDrawing" Target="../drawings/vmlDrawing1.vml"/><Relationship Id="rId16" Type="http://schemas.openxmlformats.org/officeDocument/2006/relationships/comments" Target="../comments1.x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A1:R161"/>
  <sheetViews>
    <sheetView showGridLines="0" tabSelected="1" zoomScale="85" zoomScaleNormal="85" workbookViewId="0">
      <selection activeCell="B22" sqref="B22"/>
    </sheetView>
  </sheetViews>
  <sheetFormatPr defaultColWidth="8.875" defaultRowHeight="21.95" customHeight="1" x14ac:dyDescent="0.2"/>
  <cols>
    <col min="1" max="1" width="10.25" style="8" customWidth="1"/>
    <col min="2" max="2" width="23.875" style="9" customWidth="1"/>
    <col min="3" max="3" width="14.125" style="10" customWidth="1"/>
    <col min="4" max="4" width="13.875" style="10" customWidth="1"/>
    <col min="5" max="5" width="19.125" style="10" customWidth="1"/>
    <col min="6" max="6" width="13" style="10" customWidth="1"/>
    <col min="7" max="7" width="16" style="10" customWidth="1"/>
    <col min="8" max="8" width="12.625" style="10" customWidth="1"/>
    <col min="9" max="9" width="11" style="10" customWidth="1"/>
    <col min="10" max="10" width="11.25" style="10" customWidth="1"/>
    <col min="11" max="11" width="13.5" style="10" customWidth="1"/>
    <col min="12" max="12" width="14.375" style="10" customWidth="1"/>
    <col min="13" max="13" width="13" style="10" customWidth="1"/>
    <col min="14" max="14" width="26.25" style="10" customWidth="1"/>
    <col min="15" max="15" width="18.625" style="10" customWidth="1"/>
    <col min="16" max="16" width="23.625" style="9" customWidth="1"/>
    <col min="17" max="17" width="7" style="9" customWidth="1"/>
    <col min="18" max="16384" width="8.875" style="19"/>
  </cols>
  <sheetData>
    <row r="1" spans="1:18" ht="20.100000000000001" customHeight="1" x14ac:dyDescent="0.2">
      <c r="A1" s="78">
        <v>45963</v>
      </c>
      <c r="Q1" s="9" t="s">
        <v>0</v>
      </c>
    </row>
    <row r="2" spans="1:18" ht="126.95" customHeight="1" x14ac:dyDescent="0.2">
      <c r="B2" s="83" t="s">
        <v>1</v>
      </c>
      <c r="C2" s="83"/>
      <c r="D2" s="83"/>
      <c r="E2" s="83"/>
      <c r="F2" s="83"/>
      <c r="G2" s="83"/>
      <c r="H2" s="83"/>
      <c r="I2" s="83"/>
      <c r="J2" s="83"/>
      <c r="K2" s="83"/>
      <c r="L2" s="83"/>
      <c r="M2" s="83"/>
      <c r="N2" s="83"/>
      <c r="O2" s="83"/>
      <c r="P2" s="83"/>
      <c r="R2" s="9"/>
    </row>
    <row r="4" spans="1:18" s="21" customFormat="1" ht="30" customHeight="1" x14ac:dyDescent="0.45">
      <c r="A4" s="15"/>
      <c r="B4" s="37" t="s">
        <v>2</v>
      </c>
      <c r="C4" s="24"/>
      <c r="D4" s="24"/>
      <c r="E4" s="24"/>
      <c r="F4" s="24"/>
      <c r="G4" s="24"/>
      <c r="H4" s="24"/>
      <c r="I4" s="24"/>
      <c r="J4" s="24"/>
      <c r="K4" s="24"/>
      <c r="L4" s="24"/>
      <c r="M4" s="24"/>
      <c r="N4" s="24"/>
      <c r="O4" s="24"/>
      <c r="P4" s="25"/>
      <c r="Q4" s="16"/>
    </row>
    <row r="5" spans="1:18" s="4" customFormat="1" ht="30" customHeight="1" x14ac:dyDescent="0.2">
      <c r="A5" s="11"/>
      <c r="B5" s="38" t="s">
        <v>3</v>
      </c>
      <c r="C5" s="35" t="s">
        <v>4</v>
      </c>
      <c r="D5" s="35" t="s">
        <v>5</v>
      </c>
      <c r="E5" s="35" t="s">
        <v>6</v>
      </c>
      <c r="F5" s="35" t="s">
        <v>7</v>
      </c>
      <c r="G5" s="35" t="s">
        <v>8</v>
      </c>
      <c r="H5" s="35" t="s">
        <v>9</v>
      </c>
      <c r="I5" s="35" t="s">
        <v>10</v>
      </c>
      <c r="J5" s="35" t="s">
        <v>11</v>
      </c>
      <c r="K5" s="35" t="s">
        <v>12</v>
      </c>
      <c r="L5" s="35" t="s">
        <v>13</v>
      </c>
      <c r="M5" s="35" t="s">
        <v>14</v>
      </c>
      <c r="N5" s="35" t="s">
        <v>15</v>
      </c>
      <c r="O5" s="29" t="s">
        <v>16</v>
      </c>
      <c r="P5" s="36" t="s">
        <v>17</v>
      </c>
      <c r="Q5" s="2"/>
    </row>
    <row r="6" spans="1:18" s="4" customFormat="1" ht="22.15" customHeight="1" x14ac:dyDescent="0.2">
      <c r="A6" s="11"/>
      <c r="B6" s="39" t="s">
        <v>18</v>
      </c>
      <c r="C6" s="58"/>
      <c r="D6" s="12"/>
      <c r="E6" s="12"/>
      <c r="F6" s="12"/>
      <c r="G6" s="12"/>
      <c r="H6" s="12"/>
      <c r="I6" s="12"/>
      <c r="J6" s="12"/>
      <c r="K6" s="12"/>
      <c r="L6" s="12"/>
      <c r="M6" s="12"/>
      <c r="N6" s="12"/>
      <c r="O6" s="30">
        <f>SUM(tblIncome[[#This Row],[JAN]:[DEC]])</f>
      </c>
      <c r="P6" s="13"/>
      <c r="Q6" s="2"/>
    </row>
    <row r="7" spans="1:18" s="4" customFormat="1" ht="22.15" customHeight="1" x14ac:dyDescent="0.2">
      <c r="A7" s="11"/>
      <c r="B7" s="39" t="s">
        <v>19</v>
      </c>
      <c r="C7" s="58"/>
      <c r="D7" s="12"/>
      <c r="E7" s="12"/>
      <c r="F7" s="12"/>
      <c r="G7" s="12"/>
      <c r="H7" s="12"/>
      <c r="I7" s="12"/>
      <c r="J7" s="12"/>
      <c r="K7" s="12"/>
      <c r="L7" s="12"/>
      <c r="M7" s="12"/>
      <c r="N7" s="12"/>
      <c r="O7" s="30">
        <f>SUM(tblIncome[[#This Row],[JAN]:[DEC]])</f>
      </c>
      <c r="P7" s="13"/>
      <c r="Q7" s="2"/>
    </row>
    <row r="8" spans="1:18" s="4" customFormat="1" ht="22.15" customHeight="1" x14ac:dyDescent="0.2">
      <c r="A8" s="11"/>
      <c r="B8" s="39" t="s">
        <v>20</v>
      </c>
      <c r="C8" s="58"/>
      <c r="D8" s="12"/>
      <c r="E8" s="12"/>
      <c r="F8" s="12"/>
      <c r="G8" s="12"/>
      <c r="H8" s="12"/>
      <c r="I8" s="12"/>
      <c r="J8" s="12"/>
      <c r="K8" s="12"/>
      <c r="L8" s="12"/>
      <c r="M8" s="12"/>
      <c r="N8" s="12"/>
      <c r="O8" s="30">
        <f>SUM(tblIncome[[#This Row],[JAN]:[DEC]])</f>
      </c>
      <c r="P8" s="13"/>
      <c r="Q8" s="2"/>
    </row>
    <row r="9" spans="1:18" s="4" customFormat="1" ht="22.15" customHeight="1" x14ac:dyDescent="0.2">
      <c r="A9" s="11"/>
      <c r="B9" s="39" t="s">
        <v>21</v>
      </c>
      <c r="C9" s="58"/>
      <c r="D9" s="12"/>
      <c r="E9" s="12"/>
      <c r="F9" s="12"/>
      <c r="G9" s="12"/>
      <c r="H9" s="12"/>
      <c r="I9" s="12"/>
      <c r="J9" s="12"/>
      <c r="K9" s="12"/>
      <c r="L9" s="12"/>
      <c r="M9" s="12"/>
      <c r="N9" s="12"/>
      <c r="O9" s="30">
        <f>SUM(tblIncome[[#This Row],[JAN]:[DEC]])</f>
      </c>
      <c r="P9" s="13"/>
      <c r="Q9" s="2"/>
    </row>
    <row r="10" spans="1:18" ht="21.95" customHeight="1" x14ac:dyDescent="0.2">
      <c r="B10" s="39" t="s">
        <v>22</v>
      </c>
      <c r="C10" s="58"/>
      <c r="D10" s="12"/>
      <c r="E10" s="12"/>
      <c r="F10" s="12"/>
      <c r="G10" s="12"/>
      <c r="H10" s="12"/>
      <c r="I10" s="12"/>
      <c r="J10" s="12"/>
      <c r="K10" s="12"/>
      <c r="L10" s="12"/>
      <c r="M10" s="12"/>
      <c r="N10" s="12"/>
      <c r="O10" s="30">
        <f>SUM(tblIncome[[#This Row],[JAN]:[DEC]])</f>
      </c>
      <c r="P10" s="13"/>
    </row>
    <row r="11" spans="1:18" s="27" customFormat="1" ht="30" customHeight="1" x14ac:dyDescent="0.55000000000000004">
      <c r="A11" s="23"/>
      <c r="B11" s="39" t="s">
        <v>23</v>
      </c>
      <c r="C11" s="58">
        <f>SUBTOTAL(109,tblIncome[JAN])</f>
      </c>
      <c r="D11" s="12">
        <f>SUBTOTAL(109,tblIncome[FEB])</f>
      </c>
      <c r="E11" s="12">
        <f>SUBTOTAL(109,tblIncome[MAR])</f>
      </c>
      <c r="F11" s="12">
        <f>SUBTOTAL(109,tblIncome[APR])</f>
      </c>
      <c r="G11" s="12">
        <f>SUBTOTAL(109,tblIncome[MAY])</f>
      </c>
      <c r="H11" s="12">
        <f>SUBTOTAL(109,tblIncome[JUN])</f>
      </c>
      <c r="I11" s="12">
        <f>SUBTOTAL(109,tblIncome[JUL])</f>
      </c>
      <c r="J11" s="12">
        <f>SUBTOTAL(109,tblIncome[AUG])</f>
      </c>
      <c r="K11" s="12">
        <f>SUBTOTAL(109,tblIncome[SEP])</f>
      </c>
      <c r="L11" s="12">
        <f>SUBTOTAL(109,tblIncome[OCT])</f>
      </c>
      <c r="M11" s="12">
        <f>SUBTOTAL(109,tblIncome[NOV])</f>
      </c>
      <c r="N11" s="12">
        <f>SUBTOTAL(109,tblIncome[DEC])</f>
      </c>
      <c r="O11" s="30">
        <f>SUBTOTAL(109,tblIncome[YEAR])</f>
      </c>
      <c r="P11" s="14"/>
      <c r="Q11" s="26"/>
    </row>
    <row r="12" spans="1:18" s="4" customFormat="1" ht="30" customHeight="1" x14ac:dyDescent="0.2">
      <c r="A12" s="11"/>
      <c r="B12" s="40"/>
      <c r="C12" s="59"/>
      <c r="D12" s="1"/>
      <c r="E12" s="1"/>
      <c r="F12" s="1"/>
      <c r="G12" s="1"/>
      <c r="H12" s="1"/>
      <c r="I12" s="1"/>
      <c r="J12" s="1"/>
      <c r="K12" s="1"/>
      <c r="L12" s="1"/>
      <c r="M12" s="1"/>
      <c r="N12" s="1"/>
      <c r="O12" s="31"/>
      <c r="P12" s="9"/>
      <c r="Q12" s="2"/>
    </row>
    <row r="13" spans="1:18" s="4" customFormat="1" ht="22.15" customHeight="1" x14ac:dyDescent="0.2">
      <c r="A13" s="11"/>
      <c r="B13" s="37" t="s">
        <v>24</v>
      </c>
      <c r="C13" s="60"/>
      <c r="D13" s="24"/>
      <c r="E13" s="24"/>
      <c r="F13" s="24"/>
      <c r="G13" s="24"/>
      <c r="H13" s="24"/>
      <c r="I13" s="24"/>
      <c r="J13" s="24"/>
      <c r="K13" s="24"/>
      <c r="L13" s="24"/>
      <c r="M13" s="24"/>
      <c r="N13" s="24"/>
      <c r="O13" s="32"/>
      <c r="P13" s="25"/>
      <c r="Q13" s="2"/>
    </row>
    <row r="14" spans="1:18" s="4" customFormat="1" ht="22.15" customHeight="1" x14ac:dyDescent="0.2">
      <c r="A14" s="11"/>
      <c r="B14" s="38" t="s">
        <v>25</v>
      </c>
      <c r="C14" s="61" t="s">
        <v>4</v>
      </c>
      <c r="D14" s="35" t="s">
        <v>5</v>
      </c>
      <c r="E14" s="35" t="s">
        <v>6</v>
      </c>
      <c r="F14" s="35" t="s">
        <v>7</v>
      </c>
      <c r="G14" s="35" t="s">
        <v>8</v>
      </c>
      <c r="H14" s="35" t="s">
        <v>9</v>
      </c>
      <c r="I14" s="35" t="s">
        <v>10</v>
      </c>
      <c r="J14" s="35" t="s">
        <v>11</v>
      </c>
      <c r="K14" s="35" t="s">
        <v>12</v>
      </c>
      <c r="L14" s="35" t="s">
        <v>13</v>
      </c>
      <c r="M14" s="35" t="s">
        <v>14</v>
      </c>
      <c r="N14" s="35" t="s">
        <v>15</v>
      </c>
      <c r="O14" s="29" t="s">
        <v>16</v>
      </c>
      <c r="P14" s="28" t="s">
        <v>0</v>
      </c>
      <c r="Q14" s="2"/>
    </row>
    <row r="15" spans="1:18" s="4" customFormat="1" ht="22.15" customHeight="1" x14ac:dyDescent="0.2">
      <c r="A15" s="11"/>
      <c r="B15" s="39" t="s">
        <v>26</v>
      </c>
      <c r="C15" s="58"/>
      <c r="D15" s="12"/>
      <c r="E15" s="30"/>
      <c r="F15" s="30"/>
      <c r="G15" s="30"/>
      <c r="H15" s="12"/>
      <c r="I15" s="12"/>
      <c r="J15" s="12"/>
      <c r="K15" s="12"/>
      <c r="L15" s="12"/>
      <c r="M15" s="12"/>
      <c r="N15" s="12"/>
      <c r="O15" s="30">
        <f>SUM(tblHome[[#This Row],[JAN]:[DEC]])</f>
      </c>
      <c r="P15" s="13"/>
      <c r="Q15" s="2"/>
    </row>
    <row r="16" spans="1:18" s="4" customFormat="1" ht="22.15" customHeight="1" x14ac:dyDescent="0.2">
      <c r="A16" s="11"/>
      <c r="B16" s="39" t="s">
        <v>27</v>
      </c>
      <c r="C16" s="58"/>
      <c r="D16" s="12"/>
      <c r="E16" s="12"/>
      <c r="F16" s="12"/>
      <c r="G16" s="12"/>
      <c r="H16" s="12"/>
      <c r="I16" s="12"/>
      <c r="J16" s="12"/>
      <c r="K16" s="12"/>
      <c r="L16" s="12"/>
      <c r="M16" s="12"/>
      <c r="N16" s="12"/>
      <c r="O16" s="30">
        <f>SUM(tblHome[[#This Row],[JAN]:[DEC]])</f>
      </c>
      <c r="P16" s="13"/>
      <c r="Q16" s="2"/>
    </row>
    <row r="17" spans="1:17" s="4" customFormat="1" ht="22.15" customHeight="1" x14ac:dyDescent="0.2">
      <c r="A17" s="2"/>
      <c r="B17" s="39" t="s">
        <v>28</v>
      </c>
      <c r="C17" s="58"/>
      <c r="D17" s="12"/>
      <c r="E17" s="12"/>
      <c r="F17" s="12"/>
      <c r="G17" s="12"/>
      <c r="H17" s="12"/>
      <c r="I17" s="12"/>
      <c r="J17" s="12"/>
      <c r="K17" s="12"/>
      <c r="L17" s="12"/>
      <c r="M17" s="12"/>
      <c r="N17" s="12"/>
      <c r="O17" s="30">
        <f>SUM(tblHome[[#This Row],[JAN]:[DEC]])</f>
      </c>
      <c r="P17" s="13"/>
      <c r="Q17" s="2"/>
    </row>
    <row r="18" spans="1:17" ht="22.15" customHeight="1" x14ac:dyDescent="0.2">
      <c r="B18" s="69" t="s">
        <v>29</v>
      </c>
      <c r="C18" s="70"/>
      <c r="D18" s="70"/>
      <c r="E18" s="71"/>
      <c r="F18" s="71"/>
      <c r="G18" s="70"/>
      <c r="H18" s="70"/>
      <c r="I18" s="70"/>
      <c r="J18" s="70"/>
      <c r="K18" s="70"/>
      <c r="L18" s="71"/>
      <c r="M18" s="70"/>
      <c r="N18" s="70"/>
      <c r="O18" s="30">
        <f>SUM(tblHome[[#This Row],[JAN]:[DEC]])</f>
      </c>
      <c r="P18" s="13"/>
    </row>
    <row r="19" spans="1:17" s="20" customFormat="1" ht="21.95" customHeight="1" x14ac:dyDescent="0.45">
      <c r="A19" s="17"/>
      <c r="B19" s="39" t="s">
        <v>23</v>
      </c>
      <c r="C19" s="58">
        <f>SUBTOTAL(109,tblHome[JAN])</f>
      </c>
      <c r="D19" s="12">
        <f>SUBTOTAL(109,tblHome[FEB])</f>
      </c>
      <c r="E19" s="12">
        <f>SUBTOTAL(109,tblHome[MAR])</f>
      </c>
      <c r="F19" s="12">
        <f>SUBTOTAL(109,tblHome[APR])</f>
      </c>
      <c r="G19" s="12">
        <f>SUBTOTAL(109,tblHome[MAY])</f>
      </c>
      <c r="H19" s="12">
        <f>SUBTOTAL(109,tblHome[JUN])</f>
      </c>
      <c r="I19" s="12">
        <f>SUBTOTAL(109,tblHome[JUL])</f>
      </c>
      <c r="J19" s="12">
        <f>SUBTOTAL(109,tblHome[AUG])</f>
      </c>
      <c r="K19" s="12">
        <f>SUBTOTAL(109,tblHome[SEP])</f>
      </c>
      <c r="L19" s="12">
        <f>SUBTOTAL(109,tblHome[OCT])</f>
      </c>
      <c r="M19" s="12">
        <f>SUBTOTAL(109,tblHome[NOV])</f>
      </c>
      <c r="N19" s="12">
        <f>SUBTOTAL(109,tblHome[DEC])</f>
      </c>
      <c r="O19" s="30">
        <f>SUBTOTAL(109,tblHome[YEAR])</f>
      </c>
      <c r="P19" s="14"/>
      <c r="Q19" s="18"/>
    </row>
    <row r="20" spans="1:17" s="4" customFormat="1" ht="30" customHeight="1" x14ac:dyDescent="0.2">
      <c r="A20" s="11"/>
      <c r="B20" s="40"/>
      <c r="C20" s="59"/>
      <c r="D20" s="1"/>
      <c r="E20" s="1"/>
      <c r="F20" s="1"/>
      <c r="G20" s="1"/>
      <c r="H20" s="1"/>
      <c r="I20" s="1"/>
      <c r="J20" s="1"/>
      <c r="K20" s="1"/>
      <c r="L20" s="1"/>
      <c r="M20" s="1"/>
      <c r="N20" s="1"/>
      <c r="O20" s="31"/>
      <c r="P20" s="9"/>
      <c r="Q20" s="2"/>
    </row>
    <row r="21" spans="1:17" s="4" customFormat="1" ht="22.15" customHeight="1" x14ac:dyDescent="0.2">
      <c r="A21" s="11"/>
      <c r="B21" s="38" t="s">
        <v>30</v>
      </c>
      <c r="C21" s="61" t="s">
        <v>4</v>
      </c>
      <c r="D21" s="35" t="s">
        <v>5</v>
      </c>
      <c r="E21" s="35" t="s">
        <v>6</v>
      </c>
      <c r="F21" s="35" t="s">
        <v>7</v>
      </c>
      <c r="G21" s="35" t="s">
        <v>8</v>
      </c>
      <c r="H21" s="35" t="s">
        <v>9</v>
      </c>
      <c r="I21" s="35" t="s">
        <v>10</v>
      </c>
      <c r="J21" s="35" t="s">
        <v>11</v>
      </c>
      <c r="K21" s="35" t="s">
        <v>12</v>
      </c>
      <c r="L21" s="35" t="s">
        <v>13</v>
      </c>
      <c r="M21" s="35" t="s">
        <v>14</v>
      </c>
      <c r="N21" s="35" t="s">
        <v>15</v>
      </c>
      <c r="O21" s="29" t="s">
        <v>16</v>
      </c>
      <c r="P21" s="28" t="s">
        <v>0</v>
      </c>
      <c r="Q21" s="2"/>
    </row>
    <row r="22" spans="1:17" s="4" customFormat="1" ht="22.15" customHeight="1" x14ac:dyDescent="0.2">
      <c r="A22" s="11"/>
      <c r="B22" s="48" t="s">
        <v>31</v>
      </c>
      <c r="C22" s="62"/>
      <c r="D22" s="49"/>
      <c r="E22" s="74"/>
      <c r="F22" s="49"/>
      <c r="G22" s="49"/>
      <c r="H22" s="49"/>
      <c r="I22" s="49"/>
      <c r="J22" s="49"/>
      <c r="K22" s="49"/>
      <c r="L22" s="49"/>
      <c r="M22" s="49"/>
      <c r="N22" s="49"/>
      <c r="O22" s="30">
        <f>SUM(tblDaily[[#This Row],[JAN]:[DEC]])</f>
      </c>
      <c r="P22" s="13"/>
      <c r="Q22" s="2"/>
    </row>
    <row r="23" spans="1:17" s="4" customFormat="1" ht="22.15" customHeight="1" x14ac:dyDescent="0.2">
      <c r="A23" s="11"/>
      <c r="B23" s="39" t="s">
        <v>32</v>
      </c>
      <c r="C23" s="58"/>
      <c r="D23" s="12"/>
      <c r="E23" s="12"/>
      <c r="F23" s="12"/>
      <c r="G23" s="12"/>
      <c r="H23" s="12"/>
      <c r="I23" s="12"/>
      <c r="J23" s="12"/>
      <c r="K23" s="12"/>
      <c r="L23" s="12"/>
      <c r="M23" s="12"/>
      <c r="N23" s="12"/>
      <c r="O23" s="30">
        <f>SUM(tblDaily[[#This Row],[JAN]:[DEC]])</f>
      </c>
      <c r="P23" s="13"/>
      <c r="Q23" s="2"/>
    </row>
    <row r="24" spans="1:17" s="4" customFormat="1" ht="22.15" customHeight="1" x14ac:dyDescent="0.2">
      <c r="A24" s="2"/>
      <c r="B24" s="76" t="s">
        <v>33</v>
      </c>
      <c r="C24" s="77"/>
      <c r="D24" s="77"/>
      <c r="E24" s="77"/>
      <c r="F24" s="77"/>
      <c r="G24" s="77"/>
      <c r="H24" s="77"/>
      <c r="I24" s="77"/>
      <c r="J24" s="77"/>
      <c r="K24" s="77"/>
      <c r="L24" s="77"/>
      <c r="M24" s="77"/>
      <c r="N24" s="77"/>
      <c r="O24" s="30">
        <f>SUM(tblDaily[[#This Row],[JAN]:[DEC]])</f>
      </c>
      <c r="P24" s="13"/>
      <c r="Q24" s="2"/>
    </row>
    <row r="25" spans="1:17" s="4" customFormat="1" ht="22.15" customHeight="1" x14ac:dyDescent="0.2">
      <c r="A25" s="11"/>
      <c r="B25" s="39" t="s">
        <v>34</v>
      </c>
      <c r="C25" s="58"/>
      <c r="D25" s="12"/>
      <c r="E25" s="12"/>
      <c r="F25" s="12"/>
      <c r="G25" s="12"/>
      <c r="H25" s="12"/>
      <c r="I25" s="12"/>
      <c r="J25" s="12"/>
      <c r="K25" s="12"/>
      <c r="L25" s="12"/>
      <c r="M25" s="12"/>
      <c r="N25" s="12"/>
      <c r="O25" s="30">
        <f>SUM(tblDaily[[#This Row],[JAN]:[DEC]])</f>
      </c>
      <c r="P25" s="13"/>
      <c r="Q25" s="2"/>
    </row>
    <row r="26" spans="1:17" ht="22.15" customHeight="1" x14ac:dyDescent="0.2">
      <c r="B26" s="39" t="s">
        <v>23</v>
      </c>
      <c r="C26" s="58">
        <f>SUBTOTAL(109,tblDaily[JAN])</f>
      </c>
      <c r="D26" s="12">
        <f>SUBTOTAL(109,tblDaily[FEB])</f>
      </c>
      <c r="E26" s="12">
        <f>SUBTOTAL(109,tblDaily[MAR])</f>
      </c>
      <c r="F26" s="12">
        <f>SUBTOTAL(109,tblDaily[APR])</f>
      </c>
      <c r="G26" s="12">
        <f>SUBTOTAL(109,tblDaily[MAY])</f>
      </c>
      <c r="H26" s="12">
        <f>SUBTOTAL(109,tblDaily[JUN])</f>
      </c>
      <c r="I26" s="12">
        <f>SUBTOTAL(109,tblDaily[JUL])</f>
      </c>
      <c r="J26" s="12">
        <f>SUBTOTAL(109,tblDaily[AUG])</f>
      </c>
      <c r="K26" s="12">
        <f>SUBTOTAL(109,tblDaily[SEP])</f>
      </c>
      <c r="L26" s="12">
        <f>SUBTOTAL(109,tblDaily[OCT])</f>
      </c>
      <c r="M26" s="12">
        <f>SUBTOTAL(109,tblDaily[NOV])</f>
      </c>
      <c r="N26" s="12">
        <f>SUBTOTAL(109,tblDaily[DEC])</f>
      </c>
      <c r="O26" s="30">
        <f>SUBTOTAL(109,tblDaily[YEAR])</f>
      </c>
      <c r="P26" s="14"/>
    </row>
    <row r="27" spans="1:17" s="20" customFormat="1" ht="22.15" customHeight="1" x14ac:dyDescent="0.45">
      <c r="A27" s="17"/>
      <c r="B27" s="41"/>
      <c r="C27" s="63"/>
      <c r="D27" s="3"/>
      <c r="E27" s="3"/>
      <c r="F27" s="3"/>
      <c r="G27" s="3"/>
      <c r="H27" s="3"/>
      <c r="I27" s="3"/>
      <c r="J27" s="3"/>
      <c r="K27" s="3"/>
      <c r="L27" s="3"/>
      <c r="M27" s="3"/>
      <c r="N27" s="3"/>
      <c r="O27" s="33"/>
      <c r="P27" s="2"/>
      <c r="Q27" s="18"/>
    </row>
    <row r="28" spans="1:17" s="4" customFormat="1" ht="21.95" customHeight="1" x14ac:dyDescent="0.2">
      <c r="A28" s="11"/>
      <c r="B28" s="38" t="s">
        <v>35</v>
      </c>
      <c r="C28" s="61" t="s">
        <v>4</v>
      </c>
      <c r="D28" s="35" t="s">
        <v>5</v>
      </c>
      <c r="E28" s="35" t="s">
        <v>6</v>
      </c>
      <c r="F28" s="35" t="s">
        <v>7</v>
      </c>
      <c r="G28" s="35" t="s">
        <v>8</v>
      </c>
      <c r="H28" s="35" t="s">
        <v>9</v>
      </c>
      <c r="I28" s="35" t="s">
        <v>10</v>
      </c>
      <c r="J28" s="35" t="s">
        <v>11</v>
      </c>
      <c r="K28" s="35" t="s">
        <v>12</v>
      </c>
      <c r="L28" s="35" t="s">
        <v>13</v>
      </c>
      <c r="M28" s="35" t="s">
        <v>14</v>
      </c>
      <c r="N28" s="35" t="s">
        <v>15</v>
      </c>
      <c r="O28" s="29" t="s">
        <v>16</v>
      </c>
      <c r="P28" s="28" t="s">
        <v>0</v>
      </c>
      <c r="Q28" s="2"/>
    </row>
    <row r="29" spans="1:17" s="4" customFormat="1" ht="30" customHeight="1" x14ac:dyDescent="0.2">
      <c r="A29" s="11"/>
      <c r="B29" s="47" t="s">
        <v>36</v>
      </c>
      <c r="C29" s="58"/>
      <c r="D29" s="50"/>
      <c r="E29" s="50"/>
      <c r="F29" s="50"/>
      <c r="G29" s="50"/>
      <c r="H29" s="50"/>
      <c r="I29" s="50"/>
      <c r="J29" s="50"/>
      <c r="K29" s="50"/>
      <c r="L29" s="50"/>
      <c r="M29" s="50"/>
      <c r="N29" s="50"/>
      <c r="O29" s="30">
        <f>SUM(tblTransportation[[#This Row],[JAN]:[DEC]])</f>
      </c>
      <c r="P29" s="13"/>
      <c r="Q29" s="2"/>
    </row>
    <row r="30" spans="1:17" s="4" customFormat="1" ht="22.15" customHeight="1" x14ac:dyDescent="0.2">
      <c r="A30" s="11"/>
      <c r="B30" s="39" t="s">
        <v>37</v>
      </c>
      <c r="C30" s="58"/>
      <c r="D30" s="12"/>
      <c r="E30" s="30"/>
      <c r="F30" s="12"/>
      <c r="G30" s="12"/>
      <c r="H30" s="12"/>
      <c r="I30" s="12"/>
      <c r="J30" s="12"/>
      <c r="K30" s="12"/>
      <c r="L30" s="12"/>
      <c r="M30" s="12"/>
      <c r="N30" s="12"/>
      <c r="O30" s="30">
        <f>SUM(tblTransportation[[#This Row],[JAN]:[DEC]])</f>
      </c>
      <c r="P30" s="13"/>
      <c r="Q30" s="2"/>
    </row>
    <row r="31" spans="1:17" s="4" customFormat="1" ht="22.15" customHeight="1" x14ac:dyDescent="0.2">
      <c r="A31" s="11"/>
      <c r="B31" s="39" t="s">
        <v>38</v>
      </c>
      <c r="C31" s="62"/>
      <c r="D31" s="12"/>
      <c r="E31" s="75"/>
      <c r="F31" s="12"/>
      <c r="G31" s="12"/>
      <c r="H31" s="12"/>
      <c r="I31" s="12"/>
      <c r="J31" s="12"/>
      <c r="K31" s="12"/>
      <c r="L31" s="12"/>
      <c r="M31" s="12"/>
      <c r="N31" s="12"/>
      <c r="O31" s="30">
        <f>SUM(tblTransportation[[#This Row],[JAN]:[DEC]])</f>
      </c>
      <c r="P31" s="13"/>
      <c r="Q31" s="2"/>
    </row>
    <row r="32" spans="1:17" s="4" customFormat="1" ht="22.15" customHeight="1" x14ac:dyDescent="0.2">
      <c r="A32" s="2"/>
      <c r="B32" s="39" t="s">
        <v>39</v>
      </c>
      <c r="C32" s="58"/>
      <c r="D32" s="12"/>
      <c r="E32" s="12"/>
      <c r="F32" s="12"/>
      <c r="G32" s="12"/>
      <c r="H32" s="12"/>
      <c r="I32" s="12"/>
      <c r="J32" s="12"/>
      <c r="K32" s="12"/>
      <c r="L32" s="12"/>
      <c r="M32" s="12"/>
      <c r="N32" s="12"/>
      <c r="O32" s="30">
        <f>SUM(tblTransportation[[#This Row],[JAN]:[DEC]])</f>
      </c>
      <c r="P32" s="13"/>
      <c r="Q32" s="2"/>
    </row>
    <row r="33" spans="1:17" s="4" customFormat="1" ht="22.15" customHeight="1" x14ac:dyDescent="0.2">
      <c r="A33" s="11"/>
      <c r="B33" s="39" t="s">
        <v>40</v>
      </c>
      <c r="C33" s="58"/>
      <c r="D33" s="12"/>
      <c r="E33" s="30"/>
      <c r="F33" s="30"/>
      <c r="G33" s="12"/>
      <c r="H33" s="12"/>
      <c r="I33" s="12"/>
      <c r="J33" s="12"/>
      <c r="K33" s="12"/>
      <c r="L33" s="12"/>
      <c r="M33" s="12"/>
      <c r="N33" s="12"/>
      <c r="O33" s="30">
        <f>SUM(tblTransportation[[#This Row],[JAN]:[DEC]])</f>
      </c>
      <c r="P33" s="13"/>
      <c r="Q33" s="2"/>
    </row>
    <row r="34" spans="1:17" s="4" customFormat="1" ht="22.15" customHeight="1" x14ac:dyDescent="0.2">
      <c r="A34" s="11"/>
      <c r="B34" s="39" t="s">
        <v>34</v>
      </c>
      <c r="C34" s="58"/>
      <c r="D34" s="12"/>
      <c r="E34" s="12"/>
      <c r="F34" s="12"/>
      <c r="G34" s="12"/>
      <c r="H34" s="12"/>
      <c r="I34" s="12"/>
      <c r="J34" s="12"/>
      <c r="K34" s="12"/>
      <c r="L34" s="12"/>
      <c r="M34" s="12"/>
      <c r="N34" s="12"/>
      <c r="O34" s="30">
        <f>SUM(tblTransportation[[#This Row],[JAN]:[DEC]])</f>
      </c>
      <c r="P34" s="13"/>
      <c r="Q34" s="2"/>
    </row>
    <row r="35" spans="1:17" ht="22.15" customHeight="1" x14ac:dyDescent="0.2">
      <c r="B35" s="39" t="s">
        <v>23</v>
      </c>
      <c r="C35" s="58">
        <f>SUBTOTAL(109,tblTransportation[JAN])</f>
      </c>
      <c r="D35" s="12">
        <f>SUBTOTAL(109,tblTransportation[FEB])</f>
      </c>
      <c r="E35" s="12">
        <f>SUBTOTAL(109,tblTransportation[MAR])</f>
      </c>
      <c r="F35" s="12">
        <f>SUBTOTAL(109,tblTransportation[APR])</f>
      </c>
      <c r="G35" s="12">
        <f>SUBTOTAL(109,tblTransportation[MAY])</f>
      </c>
      <c r="H35" s="12">
        <f>SUBTOTAL(109,tblTransportation[JUN])</f>
      </c>
      <c r="I35" s="12">
        <f>SUBTOTAL(109,tblTransportation[JUL])</f>
      </c>
      <c r="J35" s="12">
        <f>SUBTOTAL(109,tblTransportation[AUG])</f>
      </c>
      <c r="K35" s="12">
        <f>SUBTOTAL(109,tblTransportation[SEP])</f>
      </c>
      <c r="L35" s="12">
        <f>SUBTOTAL(109,tblTransportation[OCT])</f>
      </c>
      <c r="M35" s="12">
        <f>SUBTOTAL(109,tblTransportation[NOV])</f>
      </c>
      <c r="N35" s="12">
        <f>SUBTOTAL(109,tblTransportation[DEC])</f>
      </c>
      <c r="O35" s="30">
        <f>SUBTOTAL(109,tblTransportation[YEAR])</f>
      </c>
      <c r="P35" s="14"/>
    </row>
    <row r="36" spans="1:17" s="20" customFormat="1" ht="22.15" customHeight="1" x14ac:dyDescent="0.45">
      <c r="A36" s="17"/>
      <c r="B36" s="41"/>
      <c r="C36" s="63"/>
      <c r="D36" s="3"/>
      <c r="E36" s="3"/>
      <c r="F36" s="3"/>
      <c r="G36" s="3"/>
      <c r="H36" s="3"/>
      <c r="I36" s="3"/>
      <c r="J36" s="3"/>
      <c r="K36" s="3"/>
      <c r="L36" s="3"/>
      <c r="M36" s="3"/>
      <c r="N36" s="3"/>
      <c r="O36" s="33"/>
      <c r="P36" s="2"/>
      <c r="Q36" s="18"/>
    </row>
    <row r="37" spans="1:17" s="4" customFormat="1" ht="21.95" customHeight="1" x14ac:dyDescent="0.2">
      <c r="A37" s="11"/>
      <c r="B37" s="38" t="s">
        <v>41</v>
      </c>
      <c r="C37" s="61" t="s">
        <v>4</v>
      </c>
      <c r="D37" s="35" t="s">
        <v>5</v>
      </c>
      <c r="E37" s="35" t="s">
        <v>6</v>
      </c>
      <c r="F37" s="35" t="s">
        <v>7</v>
      </c>
      <c r="G37" s="35" t="s">
        <v>8</v>
      </c>
      <c r="H37" s="35" t="s">
        <v>9</v>
      </c>
      <c r="I37" s="35" t="s">
        <v>10</v>
      </c>
      <c r="J37" s="35" t="s">
        <v>11</v>
      </c>
      <c r="K37" s="35" t="s">
        <v>12</v>
      </c>
      <c r="L37" s="35" t="s">
        <v>13</v>
      </c>
      <c r="M37" s="35" t="s">
        <v>14</v>
      </c>
      <c r="N37" s="35" t="s">
        <v>15</v>
      </c>
      <c r="O37" s="29" t="s">
        <v>16</v>
      </c>
      <c r="P37" s="28" t="s">
        <v>0</v>
      </c>
      <c r="Q37" s="2"/>
    </row>
    <row r="38" spans="1:17" s="4" customFormat="1" ht="30" customHeight="1" x14ac:dyDescent="0.2">
      <c r="A38" s="11"/>
      <c r="B38" s="39" t="s">
        <v>42</v>
      </c>
      <c r="C38" s="58"/>
      <c r="D38" s="12"/>
      <c r="E38" s="12"/>
      <c r="F38" s="12"/>
      <c r="G38" s="12"/>
      <c r="H38" s="12"/>
      <c r="I38" s="12"/>
      <c r="J38" s="12"/>
      <c r="K38" s="12"/>
      <c r="L38" s="12"/>
      <c r="M38" s="12"/>
      <c r="N38" s="12"/>
      <c r="O38" s="30">
        <f>SUM(tblEntertainment[[#This Row],[JAN]:[DEC]])</f>
      </c>
      <c r="P38" s="13"/>
      <c r="Q38" s="2"/>
    </row>
    <row r="39" spans="1:17" s="4" customFormat="1" ht="22.15" customHeight="1" x14ac:dyDescent="0.2">
      <c r="A39" s="11"/>
      <c r="B39" s="69" t="s">
        <v>43</v>
      </c>
      <c r="C39" s="70"/>
      <c r="D39" s="70"/>
      <c r="E39" s="71"/>
      <c r="F39" s="70"/>
      <c r="G39" s="71"/>
      <c r="H39" s="70"/>
      <c r="I39" s="70"/>
      <c r="J39" s="70"/>
      <c r="K39" s="70"/>
      <c r="L39" s="70"/>
      <c r="M39" s="70"/>
      <c r="N39" s="70"/>
      <c r="O39" s="30">
        <f>SUM(tblEntertainment[[#This Row],[JAN]:[DEC]])</f>
      </c>
      <c r="P39" s="13"/>
      <c r="Q39" s="2"/>
    </row>
    <row r="40" spans="1:17" s="4" customFormat="1" ht="22.15" customHeight="1" x14ac:dyDescent="0.2">
      <c r="A40" s="11"/>
      <c r="B40" s="39" t="s">
        <v>44</v>
      </c>
      <c r="C40" s="58"/>
      <c r="D40" s="12"/>
      <c r="E40" s="12"/>
      <c r="F40" s="12"/>
      <c r="G40" s="12"/>
      <c r="H40" s="12"/>
      <c r="I40" s="12"/>
      <c r="J40" s="12"/>
      <c r="K40" s="12"/>
      <c r="L40" s="12"/>
      <c r="M40" s="12"/>
      <c r="N40" s="12"/>
      <c r="O40" s="30">
        <f>SUM(tblEntertainment[[#This Row],[JAN]:[DEC]])</f>
      </c>
      <c r="P40" s="13"/>
      <c r="Q40" s="2"/>
    </row>
    <row r="41" spans="1:17" s="4" customFormat="1" ht="22.15" customHeight="1" x14ac:dyDescent="0.2">
      <c r="A41" s="11"/>
      <c r="B41" s="39" t="s">
        <v>45</v>
      </c>
      <c r="C41" s="58"/>
      <c r="D41" s="12"/>
      <c r="E41" s="12"/>
      <c r="F41" s="12"/>
      <c r="G41" s="12"/>
      <c r="H41" s="12"/>
      <c r="I41" s="12"/>
      <c r="J41" s="12"/>
      <c r="K41" s="12"/>
      <c r="L41" s="12"/>
      <c r="M41" s="12"/>
      <c r="N41" s="12"/>
      <c r="O41" s="30">
        <f>SUM(tblEntertainment[[#This Row],[JAN]:[DEC]])</f>
      </c>
      <c r="P41" s="13"/>
      <c r="Q41" s="2"/>
    </row>
    <row r="42" spans="1:17" ht="22.15" customHeight="1" x14ac:dyDescent="0.2">
      <c r="B42" s="39" t="s">
        <v>46</v>
      </c>
      <c r="C42" s="58"/>
      <c r="D42" s="12"/>
      <c r="E42" s="12"/>
      <c r="F42" s="12"/>
      <c r="G42" s="12"/>
      <c r="H42" s="12"/>
      <c r="I42" s="12"/>
      <c r="J42" s="12"/>
      <c r="K42" s="12"/>
      <c r="L42" s="12"/>
      <c r="M42" s="12"/>
      <c r="N42" s="12"/>
      <c r="O42" s="30">
        <f>SUM(tblEntertainment[[#This Row],[JAN]:[DEC]])</f>
      </c>
      <c r="P42" s="13"/>
    </row>
    <row r="43" spans="1:17" s="20" customFormat="1" ht="22.15" customHeight="1" x14ac:dyDescent="0.45">
      <c r="A43" s="17"/>
      <c r="B43" s="39" t="s">
        <v>23</v>
      </c>
      <c r="C43" s="58">
        <f>SUBTOTAL(109,tblEntertainment[JAN])</f>
      </c>
      <c r="D43" s="12">
        <f>SUBTOTAL(109,tblEntertainment[FEB])</f>
      </c>
      <c r="E43" s="12">
        <f>SUBTOTAL(109,tblEntertainment[MAR])</f>
      </c>
      <c r="F43" s="12">
        <f>SUBTOTAL(109,tblEntertainment[APR])</f>
      </c>
      <c r="G43" s="12">
        <f>SUBTOTAL(109,tblEntertainment[MAY])</f>
      </c>
      <c r="H43" s="12">
        <f>SUBTOTAL(109,tblEntertainment[JUN])</f>
      </c>
      <c r="I43" s="12">
        <f>SUBTOTAL(109,tblEntertainment[JUL])</f>
      </c>
      <c r="J43" s="12">
        <f>SUBTOTAL(109,tblEntertainment[AUG])</f>
      </c>
      <c r="K43" s="12">
        <f>SUBTOTAL(109,tblEntertainment[SEP])</f>
      </c>
      <c r="L43" s="12">
        <f>SUBTOTAL(109,tblEntertainment[OCT])</f>
      </c>
      <c r="M43" s="12">
        <f>SUBTOTAL(109,tblEntertainment[NOV])</f>
      </c>
      <c r="N43" s="12">
        <f>SUBTOTAL(109,tblEntertainment[DEC])</f>
      </c>
      <c r="O43" s="30">
        <f>SUBTOTAL(109,tblEntertainment[YEAR])</f>
      </c>
      <c r="P43" s="14"/>
      <c r="Q43" s="18"/>
    </row>
    <row r="44" spans="1:17" s="4" customFormat="1" ht="21.95" customHeight="1" x14ac:dyDescent="0.2">
      <c r="A44" s="11"/>
      <c r="B44" s="41"/>
      <c r="C44" s="63"/>
      <c r="D44" s="3"/>
      <c r="E44" s="3"/>
      <c r="F44" s="3"/>
      <c r="G44" s="3"/>
      <c r="H44" s="3"/>
      <c r="I44" s="3"/>
      <c r="J44" s="3"/>
      <c r="K44" s="3"/>
      <c r="L44" s="3"/>
      <c r="M44" s="3"/>
      <c r="N44" s="3"/>
      <c r="O44" s="33"/>
      <c r="P44" s="2"/>
      <c r="Q44" s="2"/>
    </row>
    <row r="45" spans="1:17" s="4" customFormat="1" ht="30" customHeight="1" x14ac:dyDescent="0.2">
      <c r="A45" s="11"/>
      <c r="B45" s="38" t="s">
        <v>47</v>
      </c>
      <c r="C45" s="61" t="s">
        <v>4</v>
      </c>
      <c r="D45" s="35" t="s">
        <v>5</v>
      </c>
      <c r="E45" s="35" t="s">
        <v>6</v>
      </c>
      <c r="F45" s="35" t="s">
        <v>7</v>
      </c>
      <c r="G45" s="35" t="s">
        <v>8</v>
      </c>
      <c r="H45" s="35" t="s">
        <v>9</v>
      </c>
      <c r="I45" s="35" t="s">
        <v>10</v>
      </c>
      <c r="J45" s="35" t="s">
        <v>11</v>
      </c>
      <c r="K45" s="35" t="s">
        <v>12</v>
      </c>
      <c r="L45" s="35" t="s">
        <v>13</v>
      </c>
      <c r="M45" s="35" t="s">
        <v>14</v>
      </c>
      <c r="N45" s="35" t="s">
        <v>15</v>
      </c>
      <c r="O45" s="29" t="s">
        <v>16</v>
      </c>
      <c r="P45" s="28" t="s">
        <v>0</v>
      </c>
      <c r="Q45" s="2"/>
    </row>
    <row r="46" spans="1:17" s="4" customFormat="1" ht="22.15" customHeight="1" x14ac:dyDescent="0.2">
      <c r="A46" s="11"/>
      <c r="B46" s="39" t="s">
        <v>48</v>
      </c>
      <c r="C46" s="58"/>
      <c r="D46" s="12"/>
      <c r="E46" s="12"/>
      <c r="F46" s="12"/>
      <c r="G46" s="12"/>
      <c r="H46" s="12"/>
      <c r="I46" s="12"/>
      <c r="J46" s="12"/>
      <c r="K46" s="12"/>
      <c r="L46" s="12"/>
      <c r="M46" s="12"/>
      <c r="N46" s="12"/>
      <c r="O46" s="30">
        <f>SUM(tblHealth[[#This Row],[JAN]:[DEC]])</f>
      </c>
      <c r="P46" s="13"/>
      <c r="Q46" s="2"/>
    </row>
    <row r="47" spans="1:17" s="4" customFormat="1" ht="22.15" customHeight="1" x14ac:dyDescent="0.2">
      <c r="A47" s="2"/>
      <c r="B47" s="39" t="s">
        <v>49</v>
      </c>
      <c r="C47" s="58"/>
      <c r="D47" s="12"/>
      <c r="E47" s="12"/>
      <c r="F47" s="12"/>
      <c r="G47" s="12"/>
      <c r="H47" s="12"/>
      <c r="I47" s="12"/>
      <c r="J47" s="12"/>
      <c r="K47" s="12"/>
      <c r="L47" s="12"/>
      <c r="M47" s="12"/>
      <c r="N47" s="12"/>
      <c r="O47" s="30">
        <f>SUM(tblHealth[[#This Row],[JAN]:[DEC]])</f>
      </c>
      <c r="P47" s="13"/>
      <c r="Q47" s="2"/>
    </row>
    <row r="48" spans="1:17" s="4" customFormat="1" ht="22.15" customHeight="1" x14ac:dyDescent="0.2">
      <c r="A48" s="11"/>
      <c r="B48" s="39" t="s">
        <v>46</v>
      </c>
      <c r="C48" s="58"/>
      <c r="D48" s="12"/>
      <c r="E48" s="12"/>
      <c r="F48" s="12"/>
      <c r="G48" s="12"/>
      <c r="H48" s="12"/>
      <c r="I48" s="12"/>
      <c r="J48" s="12"/>
      <c r="K48" s="12"/>
      <c r="L48" s="12"/>
      <c r="M48" s="12"/>
      <c r="N48" s="12"/>
      <c r="O48" s="30">
        <f>SUM(tblHealth[[#This Row],[JAN]:[DEC]])</f>
      </c>
      <c r="P48" s="13"/>
      <c r="Q48" s="2"/>
    </row>
    <row r="49" spans="1:17" s="4" customFormat="1" ht="22.15" customHeight="1" x14ac:dyDescent="0.2">
      <c r="A49" s="11"/>
      <c r="B49" s="39" t="s">
        <v>23</v>
      </c>
      <c r="C49" s="58">
        <f>SUBTOTAL(109,tblHealth[JAN])</f>
      </c>
      <c r="D49" s="12">
        <f>SUBTOTAL(109,tblHealth[FEB])</f>
      </c>
      <c r="E49" s="12">
        <f>SUBTOTAL(109,tblHealth[MAR])</f>
      </c>
      <c r="F49" s="12">
        <f>SUBTOTAL(109,tblHealth[APR])</f>
      </c>
      <c r="G49" s="12">
        <f>SUBTOTAL(109,tblHealth[MAY])</f>
      </c>
      <c r="H49" s="12">
        <f>SUBTOTAL(109,tblHealth[JUN])</f>
      </c>
      <c r="I49" s="12">
        <f>SUBTOTAL(109,tblHealth[JUL])</f>
      </c>
      <c r="J49" s="12">
        <f>SUBTOTAL(109,tblHealth[AUG])</f>
      </c>
      <c r="K49" s="12">
        <f>SUBTOTAL(109,tblHealth[SEP])</f>
      </c>
      <c r="L49" s="12">
        <f>SUBTOTAL(109,tblHealth[OCT])</f>
      </c>
      <c r="M49" s="12">
        <f>SUBTOTAL(109,tblHealth[NOV])</f>
      </c>
      <c r="N49" s="12">
        <f>SUBTOTAL(109,tblHealth[DEC])</f>
      </c>
      <c r="O49" s="30">
        <f>SUBTOTAL(109,tblHealth[YEAR])</f>
      </c>
      <c r="P49" s="14"/>
      <c r="Q49" s="2"/>
    </row>
    <row r="50" spans="1:17" s="4" customFormat="1" ht="22.15" customHeight="1" x14ac:dyDescent="0.2">
      <c r="A50" s="11"/>
      <c r="B50" s="41"/>
      <c r="C50" s="63"/>
      <c r="D50" s="3"/>
      <c r="E50" s="3"/>
      <c r="F50" s="3"/>
      <c r="G50" s="3"/>
      <c r="H50" s="3"/>
      <c r="I50" s="3"/>
      <c r="J50" s="3"/>
      <c r="K50" s="3"/>
      <c r="L50" s="3"/>
      <c r="M50" s="3"/>
      <c r="N50" s="3"/>
      <c r="O50" s="33"/>
      <c r="P50" s="2"/>
      <c r="Q50" s="2"/>
    </row>
    <row r="51" spans="1:17" s="4" customFormat="1" ht="22.15" customHeight="1" x14ac:dyDescent="0.2">
      <c r="A51" s="11"/>
      <c r="B51" s="38" t="s">
        <v>50</v>
      </c>
      <c r="C51" s="61" t="s">
        <v>4</v>
      </c>
      <c r="D51" s="35" t="s">
        <v>5</v>
      </c>
      <c r="E51" s="35" t="s">
        <v>6</v>
      </c>
      <c r="F51" s="35" t="s">
        <v>7</v>
      </c>
      <c r="G51" s="35" t="s">
        <v>8</v>
      </c>
      <c r="H51" s="35" t="s">
        <v>9</v>
      </c>
      <c r="I51" s="35" t="s">
        <v>10</v>
      </c>
      <c r="J51" s="35" t="s">
        <v>11</v>
      </c>
      <c r="K51" s="35" t="s">
        <v>12</v>
      </c>
      <c r="L51" s="35" t="s">
        <v>13</v>
      </c>
      <c r="M51" s="35" t="s">
        <v>14</v>
      </c>
      <c r="N51" s="35" t="s">
        <v>15</v>
      </c>
      <c r="O51" s="29" t="s">
        <v>16</v>
      </c>
      <c r="P51" s="28" t="s">
        <v>0</v>
      </c>
      <c r="Q51" s="2"/>
    </row>
    <row r="52" spans="1:17" ht="22.15" customHeight="1" x14ac:dyDescent="0.2">
      <c r="B52" s="39" t="s">
        <v>51</v>
      </c>
      <c r="C52" s="58"/>
      <c r="D52" s="12"/>
      <c r="E52" s="12"/>
      <c r="F52" s="12"/>
      <c r="G52" s="12"/>
      <c r="H52" s="12"/>
      <c r="I52" s="12"/>
      <c r="J52" s="12"/>
      <c r="K52" s="12"/>
      <c r="L52" s="12"/>
      <c r="M52" s="12"/>
      <c r="N52" s="12"/>
      <c r="O52" s="30">
        <f>SUM(tblVacations[[#This Row],[JAN]:[DEC]])</f>
      </c>
      <c r="P52" s="13"/>
    </row>
    <row r="53" spans="1:17" s="20" customFormat="1" ht="22.15" customHeight="1" x14ac:dyDescent="0.45">
      <c r="A53" s="17"/>
      <c r="B53" s="39" t="s">
        <v>52</v>
      </c>
      <c r="C53" s="58"/>
      <c r="D53" s="12"/>
      <c r="E53" s="12"/>
      <c r="F53" s="12"/>
      <c r="G53" s="12"/>
      <c r="H53" s="12"/>
      <c r="I53" s="12"/>
      <c r="J53" s="12"/>
      <c r="K53" s="12"/>
      <c r="L53" s="12"/>
      <c r="M53" s="12"/>
      <c r="N53" s="12"/>
      <c r="O53" s="30">
        <f>SUM(tblVacations[[#This Row],[JAN]:[DEC]])</f>
      </c>
      <c r="P53" s="13"/>
      <c r="Q53" s="18"/>
    </row>
    <row r="54" spans="1:17" s="4" customFormat="1" ht="21.95" customHeight="1" x14ac:dyDescent="0.2">
      <c r="A54" s="11"/>
      <c r="B54" s="39" t="s">
        <v>53</v>
      </c>
      <c r="C54" s="58"/>
      <c r="D54" s="12"/>
      <c r="E54" s="12"/>
      <c r="F54" s="12"/>
      <c r="G54" s="12"/>
      <c r="H54" s="12"/>
      <c r="I54" s="12"/>
      <c r="J54" s="12"/>
      <c r="K54" s="12"/>
      <c r="L54" s="12"/>
      <c r="M54" s="12"/>
      <c r="N54" s="12"/>
      <c r="O54" s="30">
        <f>SUM(tblVacations[[#This Row],[JAN]:[DEC]])</f>
      </c>
      <c r="P54" s="13"/>
      <c r="Q54" s="2"/>
    </row>
    <row r="55" spans="1:17" s="4" customFormat="1" ht="30" customHeight="1" x14ac:dyDescent="0.2">
      <c r="A55" s="11"/>
      <c r="B55" s="39" t="s">
        <v>54</v>
      </c>
      <c r="C55" s="58"/>
      <c r="D55" s="12"/>
      <c r="E55" s="12"/>
      <c r="F55" s="12"/>
      <c r="G55" s="12"/>
      <c r="H55" s="12"/>
      <c r="I55" s="12"/>
      <c r="J55" s="12"/>
      <c r="K55" s="12"/>
      <c r="L55" s="12"/>
      <c r="M55" s="12"/>
      <c r="N55" s="12"/>
      <c r="O55" s="30">
        <f>SUM(tblVacations[[#This Row],[JAN]:[DEC]])</f>
      </c>
      <c r="P55" s="13"/>
      <c r="Q55" s="2"/>
    </row>
    <row r="56" spans="1:17" s="4" customFormat="1" ht="22.15" customHeight="1" x14ac:dyDescent="0.2">
      <c r="A56" s="11"/>
      <c r="B56" s="39" t="s">
        <v>55</v>
      </c>
      <c r="C56" s="58"/>
      <c r="D56" s="12"/>
      <c r="E56" s="12"/>
      <c r="F56" s="12"/>
      <c r="G56" s="12"/>
      <c r="H56" s="12"/>
      <c r="I56" s="12"/>
      <c r="J56" s="12"/>
      <c r="K56" s="12"/>
      <c r="L56" s="12"/>
      <c r="M56" s="12"/>
      <c r="N56" s="12"/>
      <c r="O56" s="30">
        <f>SUM(tblVacations[[#This Row],[JAN]:[DEC]])</f>
      </c>
      <c r="P56" s="13"/>
      <c r="Q56" s="2"/>
    </row>
    <row r="57" spans="1:17" s="4" customFormat="1" ht="22.15" customHeight="1" x14ac:dyDescent="0.2">
      <c r="A57" s="11"/>
      <c r="B57" s="39" t="s">
        <v>22</v>
      </c>
      <c r="C57" s="58"/>
      <c r="D57" s="12"/>
      <c r="E57" s="12"/>
      <c r="F57" s="12"/>
      <c r="G57" s="12"/>
      <c r="H57" s="12"/>
      <c r="I57" s="12"/>
      <c r="J57" s="12"/>
      <c r="K57" s="12"/>
      <c r="L57" s="12"/>
      <c r="M57" s="12"/>
      <c r="N57" s="12"/>
      <c r="O57" s="30">
        <f>SUM(tblVacations[[#This Row],[JAN]:[DEC]])</f>
      </c>
      <c r="P57" s="13"/>
      <c r="Q57" s="2"/>
    </row>
    <row r="58" spans="1:17" s="4" customFormat="1" ht="22.15" customHeight="1" x14ac:dyDescent="0.2">
      <c r="A58" s="11"/>
      <c r="B58" s="39" t="s">
        <v>23</v>
      </c>
      <c r="C58" s="58">
        <f>SUBTOTAL(109,tblVacations[JAN])</f>
      </c>
      <c r="D58" s="12">
        <f>SUBTOTAL(109,tblVacations[FEB])</f>
      </c>
      <c r="E58" s="12">
        <f>SUBTOTAL(109,tblVacations[MAR])</f>
      </c>
      <c r="F58" s="12">
        <f>SUBTOTAL(109,tblVacations[APR])</f>
      </c>
      <c r="G58" s="12">
        <f>SUBTOTAL(109,tblVacations[MAY])</f>
      </c>
      <c r="H58" s="12">
        <f>SUBTOTAL(109,tblVacations[JUN])</f>
      </c>
      <c r="I58" s="12">
        <f>SUBTOTAL(109,tblVacations[JUL])</f>
      </c>
      <c r="J58" s="12">
        <f>SUBTOTAL(109,tblVacations[AUG])</f>
      </c>
      <c r="K58" s="12">
        <f>SUBTOTAL(109,tblVacations[SEP])</f>
      </c>
      <c r="L58" s="12">
        <f>SUBTOTAL(109,tblVacations[OCT])</f>
      </c>
      <c r="M58" s="12">
        <f>SUBTOTAL(109,tblVacations[NOV])</f>
      </c>
      <c r="N58" s="12">
        <f>SUBTOTAL(109,tblVacations[DEC])</f>
      </c>
      <c r="O58" s="30">
        <f>SUBTOTAL(109,tblVacations[YEAR])</f>
      </c>
      <c r="P58" s="14"/>
      <c r="Q58" s="2"/>
    </row>
    <row r="59" spans="1:17" s="4" customFormat="1" ht="22.15" customHeight="1" x14ac:dyDescent="0.2">
      <c r="A59" s="11"/>
      <c r="B59" s="41"/>
      <c r="C59" s="63"/>
      <c r="D59" s="3"/>
      <c r="E59" s="3"/>
      <c r="F59" s="3"/>
      <c r="G59" s="3"/>
      <c r="H59" s="3"/>
      <c r="I59" s="3"/>
      <c r="J59" s="3"/>
      <c r="K59" s="3"/>
      <c r="L59" s="3"/>
      <c r="M59" s="3"/>
      <c r="N59" s="3"/>
      <c r="O59" s="33"/>
      <c r="P59" s="2"/>
      <c r="Q59" s="2"/>
    </row>
    <row r="60" spans="1:17" s="4" customFormat="1" ht="22.15" customHeight="1" x14ac:dyDescent="0.2">
      <c r="A60" s="11"/>
      <c r="B60" s="38" t="s">
        <v>56</v>
      </c>
      <c r="C60" s="61" t="s">
        <v>4</v>
      </c>
      <c r="D60" s="35" t="s">
        <v>5</v>
      </c>
      <c r="E60" s="35" t="s">
        <v>6</v>
      </c>
      <c r="F60" s="35" t="s">
        <v>7</v>
      </c>
      <c r="G60" s="35" t="s">
        <v>8</v>
      </c>
      <c r="H60" s="35" t="s">
        <v>9</v>
      </c>
      <c r="I60" s="35" t="s">
        <v>10</v>
      </c>
      <c r="J60" s="35" t="s">
        <v>11</v>
      </c>
      <c r="K60" s="35" t="s">
        <v>12</v>
      </c>
      <c r="L60" s="35" t="s">
        <v>13</v>
      </c>
      <c r="M60" s="35" t="s">
        <v>14</v>
      </c>
      <c r="N60" s="35" t="s">
        <v>15</v>
      </c>
      <c r="O60" s="29" t="s">
        <v>16</v>
      </c>
      <c r="P60" s="28" t="s">
        <v>0</v>
      </c>
      <c r="Q60" s="2"/>
    </row>
    <row r="61" spans="1:17" ht="22.15" customHeight="1" x14ac:dyDescent="0.2">
      <c r="B61" s="69" t="s">
        <v>57</v>
      </c>
      <c r="C61" s="70"/>
      <c r="D61" s="70"/>
      <c r="E61" s="71"/>
      <c r="F61" s="71"/>
      <c r="G61" s="71"/>
      <c r="H61" s="70"/>
      <c r="I61" s="70"/>
      <c r="J61" s="70"/>
      <c r="K61" s="70"/>
      <c r="L61" s="70"/>
      <c r="M61" s="70"/>
      <c r="N61" s="70"/>
      <c r="O61" s="71">
        <f>SUM(tblRecreation[[#This Row],[JAN]:[DEC]])</f>
      </c>
      <c r="P61" s="72"/>
    </row>
    <row r="62" spans="1:17" s="20" customFormat="1" ht="22.15" customHeight="1" x14ac:dyDescent="0.45">
      <c r="A62" s="17"/>
      <c r="B62" s="39" t="s">
        <v>58</v>
      </c>
      <c r="C62" s="58"/>
      <c r="D62" s="12"/>
      <c r="E62" s="12"/>
      <c r="F62" s="12"/>
      <c r="G62" s="12"/>
      <c r="H62" s="12"/>
      <c r="I62" s="12"/>
      <c r="J62" s="12"/>
      <c r="K62" s="12"/>
      <c r="L62" s="12"/>
      <c r="M62" s="12"/>
      <c r="N62" s="12"/>
      <c r="O62" s="30">
        <f>SUM(tblRecreation[[#This Row],[JAN]:[DEC]])</f>
      </c>
      <c r="P62" s="13"/>
      <c r="Q62" s="18"/>
    </row>
    <row r="63" spans="1:17" s="4" customFormat="1" ht="21.95" customHeight="1" x14ac:dyDescent="0.2">
      <c r="A63" s="11"/>
      <c r="B63" s="39" t="s">
        <v>59</v>
      </c>
      <c r="C63" s="58"/>
      <c r="D63" s="12"/>
      <c r="E63" s="12"/>
      <c r="F63" s="12"/>
      <c r="G63" s="12"/>
      <c r="H63" s="12"/>
      <c r="I63" s="12"/>
      <c r="J63" s="12"/>
      <c r="K63" s="12"/>
      <c r="L63" s="12"/>
      <c r="M63" s="12"/>
      <c r="N63" s="12"/>
      <c r="O63" s="30">
        <f>SUM(tblRecreation[[#This Row],[JAN]:[DEC]])</f>
      </c>
      <c r="P63" s="13"/>
      <c r="Q63" s="2"/>
    </row>
    <row r="64" spans="1:17" s="4" customFormat="1" ht="30" customHeight="1" x14ac:dyDescent="0.2">
      <c r="A64" s="11"/>
      <c r="B64" s="39" t="s">
        <v>46</v>
      </c>
      <c r="C64" s="58"/>
      <c r="D64" s="12"/>
      <c r="E64" s="12"/>
      <c r="F64" s="12"/>
      <c r="G64" s="12"/>
      <c r="H64" s="12"/>
      <c r="I64" s="12"/>
      <c r="J64" s="12"/>
      <c r="K64" s="12"/>
      <c r="L64" s="12"/>
      <c r="M64" s="12"/>
      <c r="N64" s="12"/>
      <c r="O64" s="30">
        <f>SUM(tblRecreation[[#This Row],[JAN]:[DEC]])</f>
      </c>
      <c r="P64" s="13"/>
      <c r="Q64" s="2"/>
    </row>
    <row r="65" spans="1:17" s="4" customFormat="1" ht="22.15" customHeight="1" x14ac:dyDescent="0.2">
      <c r="A65" s="11"/>
      <c r="B65" s="39" t="s">
        <v>23</v>
      </c>
      <c r="C65" s="58">
        <f>SUBTOTAL(109,tblRecreation[JAN])</f>
      </c>
      <c r="D65" s="12">
        <f>SUBTOTAL(109,tblRecreation[FEB])</f>
      </c>
      <c r="E65" s="12">
        <f>SUBTOTAL(109,tblRecreation[MAR])</f>
      </c>
      <c r="F65" s="12">
        <f>SUBTOTAL(109,tblRecreation[APR])</f>
      </c>
      <c r="G65" s="12">
        <f>SUBTOTAL(109,tblRecreation[MAY])</f>
      </c>
      <c r="H65" s="12">
        <f>SUBTOTAL(109,tblRecreation[JUN])</f>
      </c>
      <c r="I65" s="12">
        <f>SUBTOTAL(109,tblRecreation[JUL])</f>
      </c>
      <c r="J65" s="12">
        <f>SUBTOTAL(109,tblRecreation[AUG])</f>
      </c>
      <c r="K65" s="12">
        <f>SUBTOTAL(109,tblRecreation[SEP])</f>
      </c>
      <c r="L65" s="12">
        <f>SUBTOTAL(109,tblRecreation[OCT])</f>
      </c>
      <c r="M65" s="12">
        <f>SUBTOTAL(109,tblRecreation[NOV])</f>
      </c>
      <c r="N65" s="12">
        <f>SUBTOTAL(109,tblRecreation[DEC])</f>
      </c>
      <c r="O65" s="30">
        <f>SUBTOTAL(109,tblRecreation[YEAR])</f>
      </c>
      <c r="P65" s="14"/>
      <c r="Q65" s="2"/>
    </row>
    <row r="66" spans="1:17" s="4" customFormat="1" ht="22.15" customHeight="1" x14ac:dyDescent="0.2">
      <c r="A66" s="11"/>
      <c r="B66" s="41"/>
      <c r="C66" s="63"/>
      <c r="D66" s="3"/>
      <c r="E66" s="3"/>
      <c r="F66" s="3"/>
      <c r="G66" s="3"/>
      <c r="H66" s="3"/>
      <c r="I66" s="3"/>
      <c r="J66" s="3"/>
      <c r="K66" s="3"/>
      <c r="L66" s="3"/>
      <c r="M66" s="3"/>
      <c r="N66" s="3"/>
      <c r="O66" s="33"/>
      <c r="P66" s="2"/>
      <c r="Q66" s="2"/>
    </row>
    <row r="67" spans="1:17" s="4" customFormat="1" ht="22.15" customHeight="1" x14ac:dyDescent="0.2">
      <c r="A67" s="11"/>
      <c r="B67" s="38" t="s">
        <v>60</v>
      </c>
      <c r="C67" s="61" t="s">
        <v>4</v>
      </c>
      <c r="D67" s="35" t="s">
        <v>5</v>
      </c>
      <c r="E67" s="35" t="s">
        <v>6</v>
      </c>
      <c r="F67" s="35" t="s">
        <v>7</v>
      </c>
      <c r="G67" s="35" t="s">
        <v>8</v>
      </c>
      <c r="H67" s="35" t="s">
        <v>9</v>
      </c>
      <c r="I67" s="35" t="s">
        <v>10</v>
      </c>
      <c r="J67" s="35" t="s">
        <v>11</v>
      </c>
      <c r="K67" s="35" t="s">
        <v>12</v>
      </c>
      <c r="L67" s="35" t="s">
        <v>13</v>
      </c>
      <c r="M67" s="35" t="s">
        <v>14</v>
      </c>
      <c r="N67" s="35" t="s">
        <v>15</v>
      </c>
      <c r="O67" s="29" t="s">
        <v>16</v>
      </c>
      <c r="P67" s="28" t="s">
        <v>0</v>
      </c>
      <c r="Q67" s="2"/>
    </row>
    <row r="68" spans="1:17" ht="22.15" customHeight="1" x14ac:dyDescent="0.2">
      <c r="B68" s="39" t="s">
        <v>61</v>
      </c>
      <c r="C68" s="58"/>
      <c r="D68" s="12"/>
      <c r="E68" s="12"/>
      <c r="F68" s="12"/>
      <c r="G68" s="12"/>
      <c r="H68" s="12"/>
      <c r="I68" s="12"/>
      <c r="J68" s="12"/>
      <c r="K68" s="12"/>
      <c r="L68" s="12"/>
      <c r="M68" s="12"/>
      <c r="N68" s="12"/>
      <c r="O68" s="30">
        <f>SUM(tblDues[[#This Row],[JAN]:[DEC]])</f>
      </c>
      <c r="P68" s="13"/>
    </row>
    <row r="69" spans="1:17" s="20" customFormat="1" ht="22.15" customHeight="1" x14ac:dyDescent="0.45">
      <c r="A69" s="17"/>
      <c r="B69" s="39" t="s">
        <v>46</v>
      </c>
      <c r="C69" s="58"/>
      <c r="D69" s="12"/>
      <c r="E69" s="12"/>
      <c r="F69" s="12"/>
      <c r="G69" s="12"/>
      <c r="H69" s="12"/>
      <c r="I69" s="12"/>
      <c r="J69" s="12"/>
      <c r="K69" s="12"/>
      <c r="L69" s="12"/>
      <c r="M69" s="12"/>
      <c r="N69" s="12"/>
      <c r="O69" s="30">
        <f>SUM(tblDues[[#This Row],[JAN]:[DEC]])</f>
      </c>
      <c r="P69" s="13"/>
      <c r="Q69" s="18"/>
    </row>
    <row r="70" spans="1:17" s="4" customFormat="1" ht="21.95" customHeight="1" x14ac:dyDescent="0.2">
      <c r="A70" s="11"/>
      <c r="B70" s="39" t="s">
        <v>23</v>
      </c>
      <c r="C70" s="58">
        <f>SUBTOTAL(109,tblDues[JAN])</f>
      </c>
      <c r="D70" s="12">
        <f>SUBTOTAL(109,tblDues[FEB])</f>
      </c>
      <c r="E70" s="12">
        <f>SUBTOTAL(109,tblDues[MAR])</f>
      </c>
      <c r="F70" s="12">
        <f>SUBTOTAL(109,tblDues[APR])</f>
      </c>
      <c r="G70" s="12">
        <f>SUBTOTAL(109,tblDues[MAY])</f>
      </c>
      <c r="H70" s="12">
        <f>SUBTOTAL(109,tblDues[JUN])</f>
      </c>
      <c r="I70" s="12">
        <f>SUBTOTAL(109,tblDues[JUL])</f>
      </c>
      <c r="J70" s="12">
        <f>SUBTOTAL(109,tblDues[AUG])</f>
      </c>
      <c r="K70" s="12">
        <f>SUBTOTAL(109,tblDues[SEP])</f>
      </c>
      <c r="L70" s="12">
        <f>SUBTOTAL(109,tblDues[OCT])</f>
      </c>
      <c r="M70" s="12">
        <f>SUBTOTAL(109,tblDues[NOV])</f>
      </c>
      <c r="N70" s="12">
        <f>SUBTOTAL(109,tblDues[DEC])</f>
      </c>
      <c r="O70" s="30">
        <f>SUBTOTAL(109,tblDues[YEAR])</f>
      </c>
      <c r="P70" s="14"/>
      <c r="Q70" s="2"/>
    </row>
    <row r="71" spans="1:17" s="4" customFormat="1" ht="30" customHeight="1" x14ac:dyDescent="0.2">
      <c r="A71" s="11"/>
      <c r="B71" s="41"/>
      <c r="C71" s="63"/>
      <c r="D71" s="3"/>
      <c r="E71" s="3"/>
      <c r="F71" s="3"/>
      <c r="G71" s="3"/>
      <c r="H71" s="3"/>
      <c r="I71" s="3"/>
      <c r="J71" s="3"/>
      <c r="K71" s="3"/>
      <c r="L71" s="3"/>
      <c r="M71" s="3"/>
      <c r="N71" s="3"/>
      <c r="O71" s="33"/>
      <c r="P71" s="2"/>
      <c r="Q71" s="2"/>
    </row>
    <row r="72" spans="1:17" s="4" customFormat="1" ht="22.15" customHeight="1" x14ac:dyDescent="0.2">
      <c r="A72" s="11"/>
      <c r="B72" s="38" t="s">
        <v>62</v>
      </c>
      <c r="C72" s="61" t="s">
        <v>4</v>
      </c>
      <c r="D72" s="35" t="s">
        <v>5</v>
      </c>
      <c r="E72" s="35" t="s">
        <v>6</v>
      </c>
      <c r="F72" s="35" t="s">
        <v>7</v>
      </c>
      <c r="G72" s="35" t="s">
        <v>8</v>
      </c>
      <c r="H72" s="35" t="s">
        <v>9</v>
      </c>
      <c r="I72" s="35" t="s">
        <v>10</v>
      </c>
      <c r="J72" s="35" t="s">
        <v>11</v>
      </c>
      <c r="K72" s="35" t="s">
        <v>12</v>
      </c>
      <c r="L72" s="35" t="s">
        <v>13</v>
      </c>
      <c r="M72" s="35" t="s">
        <v>14</v>
      </c>
      <c r="N72" s="35" t="s">
        <v>15</v>
      </c>
      <c r="O72" s="29" t="s">
        <v>16</v>
      </c>
      <c r="P72" s="28" t="s">
        <v>0</v>
      </c>
      <c r="Q72" s="2"/>
    </row>
    <row r="73" spans="1:17" s="4" customFormat="1" ht="22.15" customHeight="1" x14ac:dyDescent="0.2">
      <c r="A73" s="11"/>
      <c r="B73" s="39" t="s">
        <v>63</v>
      </c>
      <c r="C73" s="58"/>
      <c r="D73" s="12"/>
      <c r="E73" s="12"/>
      <c r="F73" s="12"/>
      <c r="G73" s="12"/>
      <c r="H73" s="12"/>
      <c r="I73" s="12"/>
      <c r="J73" s="12"/>
      <c r="K73" s="12"/>
      <c r="L73" s="12"/>
      <c r="M73" s="12"/>
      <c r="N73" s="12"/>
      <c r="O73" s="30">
        <f>SUM(tblPersonal[[#This Row],[JAN]:[DEC]])</f>
      </c>
      <c r="P73" s="13"/>
      <c r="Q73" s="2"/>
    </row>
    <row r="74" spans="1:17" s="4" customFormat="1" ht="22.15" customHeight="1" x14ac:dyDescent="0.2">
      <c r="A74" s="11"/>
      <c r="B74" s="39" t="s">
        <v>64</v>
      </c>
      <c r="C74" s="58"/>
      <c r="D74" s="12"/>
      <c r="E74" s="12"/>
      <c r="F74" s="12"/>
      <c r="G74" s="12"/>
      <c r="H74" s="12"/>
      <c r="I74" s="12"/>
      <c r="J74" s="12"/>
      <c r="K74" s="12"/>
      <c r="L74" s="12"/>
      <c r="M74" s="12"/>
      <c r="N74" s="12"/>
      <c r="O74" s="30">
        <f>SUM(tblPersonal[[#This Row],[JAN]:[DEC]])</f>
      </c>
      <c r="P74" s="13"/>
      <c r="Q74" s="2"/>
    </row>
    <row r="75" spans="1:17" s="4" customFormat="1" ht="22.15" customHeight="1" x14ac:dyDescent="0.2">
      <c r="A75" s="11"/>
      <c r="B75" s="39" t="s">
        <v>65</v>
      </c>
      <c r="C75" s="58"/>
      <c r="D75" s="12"/>
      <c r="E75" s="12"/>
      <c r="F75" s="12"/>
      <c r="G75" s="12"/>
      <c r="H75" s="12"/>
      <c r="I75" s="12"/>
      <c r="J75" s="12"/>
      <c r="K75" s="12"/>
      <c r="L75" s="12"/>
      <c r="M75" s="12"/>
      <c r="N75" s="12"/>
      <c r="O75" s="30">
        <f>SUM(tblPersonal[[#This Row],[JAN]:[DEC]])</f>
      </c>
      <c r="P75" s="13"/>
      <c r="Q75" s="2"/>
    </row>
    <row r="76" spans="1:17" s="4" customFormat="1" ht="22.15" customHeight="1" x14ac:dyDescent="0.2">
      <c r="A76" s="11"/>
      <c r="B76" s="39" t="s">
        <v>66</v>
      </c>
      <c r="C76" s="58"/>
      <c r="D76" s="12"/>
      <c r="E76" s="12"/>
      <c r="F76" s="12"/>
      <c r="G76" s="12"/>
      <c r="H76" s="12"/>
      <c r="I76" s="12"/>
      <c r="J76" s="12"/>
      <c r="K76" s="12"/>
      <c r="L76" s="12"/>
      <c r="M76" s="12"/>
      <c r="N76" s="12"/>
      <c r="O76" s="30">
        <f>SUM(tblPersonal[[#This Row],[JAN]:[DEC]])</f>
      </c>
      <c r="P76" s="13"/>
      <c r="Q76" s="2"/>
    </row>
    <row r="77" spans="1:17" s="4" customFormat="1" ht="22.15" customHeight="1" x14ac:dyDescent="0.2">
      <c r="A77" s="11"/>
      <c r="B77" s="39" t="s">
        <v>34</v>
      </c>
      <c r="C77" s="58"/>
      <c r="D77" s="12"/>
      <c r="E77" s="12"/>
      <c r="F77" s="12"/>
      <c r="G77" s="12"/>
      <c r="H77" s="12"/>
      <c r="I77" s="12"/>
      <c r="J77" s="12"/>
      <c r="K77" s="12"/>
      <c r="L77" s="12"/>
      <c r="M77" s="12"/>
      <c r="N77" s="12"/>
      <c r="O77" s="30">
        <f>SUM(tblPersonal[[#This Row],[JAN]:[DEC]])</f>
      </c>
      <c r="P77" s="13"/>
      <c r="Q77" s="2"/>
    </row>
    <row r="78" spans="1:17" ht="22.15" customHeight="1" x14ac:dyDescent="0.2">
      <c r="B78" s="39" t="s">
        <v>23</v>
      </c>
      <c r="C78" s="58">
        <f>SUBTOTAL(109,tblPersonal[JAN])</f>
      </c>
      <c r="D78" s="12">
        <f>SUBTOTAL(109,tblPersonal[FEB])</f>
      </c>
      <c r="E78" s="12">
        <f>SUBTOTAL(109,tblPersonal[MAR])</f>
      </c>
      <c r="F78" s="12">
        <f>SUBTOTAL(109,tblPersonal[APR])</f>
      </c>
      <c r="G78" s="12">
        <f>SUBTOTAL(109,tblPersonal[MAY])</f>
      </c>
      <c r="H78" s="12">
        <f>SUBTOTAL(109,tblPersonal[JUN])</f>
      </c>
      <c r="I78" s="12">
        <f>SUBTOTAL(109,tblPersonal[JUL])</f>
      </c>
      <c r="J78" s="12">
        <f>SUBTOTAL(109,tblPersonal[AUG])</f>
      </c>
      <c r="K78" s="12">
        <f>SUBTOTAL(109,tblPersonal[SEP])</f>
      </c>
      <c r="L78" s="12">
        <f>SUBTOTAL(109,tblPersonal[OCT])</f>
      </c>
      <c r="M78" s="12">
        <f>SUBTOTAL(109,tblPersonal[NOV])</f>
      </c>
      <c r="N78" s="12">
        <f>SUBTOTAL(109,tblPersonal[DEC])</f>
      </c>
      <c r="O78" s="30">
        <f>SUBTOTAL(109,tblPersonal[YEAR])</f>
      </c>
      <c r="P78" s="14"/>
    </row>
    <row r="79" spans="1:17" s="20" customFormat="1" ht="22.15" customHeight="1" x14ac:dyDescent="0.45">
      <c r="A79" s="17"/>
      <c r="B79" s="41"/>
      <c r="C79" s="63"/>
      <c r="D79" s="3"/>
      <c r="E79" s="3"/>
      <c r="F79" s="3"/>
      <c r="G79" s="3"/>
      <c r="H79" s="3"/>
      <c r="I79" s="3"/>
      <c r="J79" s="3"/>
      <c r="K79" s="3"/>
      <c r="L79" s="3"/>
      <c r="M79" s="3"/>
      <c r="N79" s="3"/>
      <c r="O79" s="33"/>
      <c r="P79" s="2"/>
      <c r="Q79" s="18"/>
    </row>
    <row r="80" spans="1:17" s="4" customFormat="1" ht="21.95" customHeight="1" x14ac:dyDescent="0.2">
      <c r="A80" s="11"/>
      <c r="B80" s="38" t="s">
        <v>67</v>
      </c>
      <c r="C80" s="61" t="s">
        <v>4</v>
      </c>
      <c r="D80" s="35" t="s">
        <v>5</v>
      </c>
      <c r="E80" s="35" t="s">
        <v>6</v>
      </c>
      <c r="F80" s="35" t="s">
        <v>7</v>
      </c>
      <c r="G80" s="35" t="s">
        <v>8</v>
      </c>
      <c r="H80" s="35" t="s">
        <v>9</v>
      </c>
      <c r="I80" s="35" t="s">
        <v>10</v>
      </c>
      <c r="J80" s="35" t="s">
        <v>11</v>
      </c>
      <c r="K80" s="35" t="s">
        <v>12</v>
      </c>
      <c r="L80" s="35" t="s">
        <v>13</v>
      </c>
      <c r="M80" s="35" t="s">
        <v>14</v>
      </c>
      <c r="N80" s="35" t="s">
        <v>15</v>
      </c>
      <c r="O80" s="29" t="s">
        <v>16</v>
      </c>
      <c r="P80" s="28" t="s">
        <v>0</v>
      </c>
      <c r="Q80" s="2"/>
    </row>
    <row r="81" spans="1:17" s="4" customFormat="1" ht="30" customHeight="1" x14ac:dyDescent="0.2">
      <c r="A81" s="11"/>
      <c r="B81" s="39" t="s">
        <v>68</v>
      </c>
      <c r="C81" s="58"/>
      <c r="D81" s="12"/>
      <c r="E81" s="12"/>
      <c r="F81" s="12"/>
      <c r="G81" s="12"/>
      <c r="H81" s="12"/>
      <c r="I81" s="12"/>
      <c r="J81" s="12"/>
      <c r="K81" s="12"/>
      <c r="L81" s="12"/>
      <c r="M81" s="12"/>
      <c r="N81" s="12"/>
      <c r="O81" s="30">
        <f>SUM(tblFinancial[[#This Row],[JAN]:[DEC]])</f>
      </c>
      <c r="P81" s="13"/>
      <c r="Q81" s="2"/>
    </row>
    <row r="82" spans="1:17" s="4" customFormat="1" ht="22.15" customHeight="1" x14ac:dyDescent="0.2">
      <c r="A82" s="11"/>
      <c r="B82" s="39" t="s">
        <v>69</v>
      </c>
      <c r="C82" s="58"/>
      <c r="D82" s="12"/>
      <c r="E82" s="12"/>
      <c r="F82" s="12"/>
      <c r="G82" s="12"/>
      <c r="H82" s="12"/>
      <c r="I82" s="12"/>
      <c r="J82" s="12"/>
      <c r="K82" s="12"/>
      <c r="L82" s="12"/>
      <c r="M82" s="12"/>
      <c r="N82" s="12"/>
      <c r="O82" s="30">
        <f>SUM(tblFinancial[[#This Row],[JAN]:[DEC]])</f>
      </c>
      <c r="P82" s="13"/>
      <c r="Q82" s="2"/>
    </row>
    <row r="83" spans="1:17" s="4" customFormat="1" ht="22.15" customHeight="1" x14ac:dyDescent="0.2">
      <c r="A83" s="11"/>
      <c r="B83" s="39" t="s">
        <v>70</v>
      </c>
      <c r="C83" s="58"/>
      <c r="D83" s="12"/>
      <c r="E83" s="12"/>
      <c r="F83" s="12"/>
      <c r="G83" s="12"/>
      <c r="H83" s="12"/>
      <c r="I83" s="12"/>
      <c r="J83" s="12"/>
      <c r="K83" s="12"/>
      <c r="L83" s="12"/>
      <c r="M83" s="12"/>
      <c r="N83" s="12"/>
      <c r="O83" s="30">
        <f>SUM(tblFinancial[[#This Row],[JAN]:[DEC]])</f>
      </c>
      <c r="P83" s="13"/>
      <c r="Q83" s="2"/>
    </row>
    <row r="84" spans="1:17" s="4" customFormat="1" ht="22.15" customHeight="1" x14ac:dyDescent="0.2">
      <c r="A84" s="11"/>
      <c r="B84" s="39" t="s">
        <v>71</v>
      </c>
      <c r="C84" s="58"/>
      <c r="D84" s="12"/>
      <c r="E84" s="12"/>
      <c r="F84" s="12"/>
      <c r="G84" s="12"/>
      <c r="H84" s="12"/>
      <c r="I84" s="12"/>
      <c r="J84" s="12"/>
      <c r="K84" s="12"/>
      <c r="L84" s="12"/>
      <c r="M84" s="12"/>
      <c r="N84" s="12"/>
      <c r="O84" s="30">
        <f>SUM(tblFinancial[[#This Row],[JAN]:[DEC]])</f>
      </c>
      <c r="P84" s="13"/>
      <c r="Q84" s="2"/>
    </row>
    <row r="85" spans="1:17" s="4" customFormat="1" ht="22.15" customHeight="1" x14ac:dyDescent="0.2">
      <c r="A85" s="11"/>
      <c r="B85" s="39" t="s">
        <v>72</v>
      </c>
      <c r="C85" s="58"/>
      <c r="D85" s="12"/>
      <c r="E85" s="12"/>
      <c r="F85" s="12"/>
      <c r="G85" s="12"/>
      <c r="H85" s="12"/>
      <c r="I85" s="12"/>
      <c r="J85" s="12"/>
      <c r="K85" s="12"/>
      <c r="L85" s="12"/>
      <c r="M85" s="12"/>
      <c r="N85" s="12"/>
      <c r="O85" s="30">
        <f>SUM(tblFinancial[[#This Row],[JAN]:[DEC]])</f>
      </c>
      <c r="P85" s="13"/>
      <c r="Q85" s="2"/>
    </row>
    <row r="86" spans="1:17" ht="22.15" customHeight="1" x14ac:dyDescent="0.2">
      <c r="B86" s="39" t="s">
        <v>23</v>
      </c>
      <c r="C86" s="58">
        <f>SUBTOTAL(109,tblFinancial[JAN])</f>
      </c>
      <c r="D86" s="12">
        <f>SUBTOTAL(109,tblFinancial[FEB])</f>
      </c>
      <c r="E86" s="12">
        <f>SUBTOTAL(109,tblFinancial[MAR])</f>
      </c>
      <c r="F86" s="12">
        <f>SUBTOTAL(109,tblFinancial[APR])</f>
      </c>
      <c r="G86" s="12">
        <f>SUBTOTAL(109,tblFinancial[MAY])</f>
      </c>
      <c r="H86" s="12">
        <f>SUBTOTAL(109,tblFinancial[JUN])</f>
      </c>
      <c r="I86" s="12">
        <f>SUBTOTAL(109,tblFinancial[JUL])</f>
      </c>
      <c r="J86" s="12">
        <f>SUBTOTAL(109,tblFinancial[AUG])</f>
      </c>
      <c r="K86" s="12">
        <f>SUBTOTAL(109,tblFinancial[SEP])</f>
      </c>
      <c r="L86" s="12">
        <f>SUBTOTAL(109,tblFinancial[OCT])</f>
      </c>
      <c r="M86" s="12">
        <f>SUBTOTAL(109,tblFinancial[NOV])</f>
      </c>
      <c r="N86" s="12">
        <f>SUBTOTAL(109,tblFinancial[DEC])</f>
      </c>
      <c r="O86" s="30">
        <f>SUBTOTAL(109,tblFinancial[YEAR])</f>
      </c>
      <c r="P86" s="14"/>
    </row>
    <row r="87" spans="1:17" s="20" customFormat="1" ht="22.15" customHeight="1" x14ac:dyDescent="0.45">
      <c r="A87" s="17"/>
      <c r="B87" s="41"/>
      <c r="C87" s="63"/>
      <c r="D87" s="3"/>
      <c r="E87" s="3"/>
      <c r="F87" s="3"/>
      <c r="G87" s="3"/>
      <c r="H87" s="3"/>
      <c r="I87" s="3"/>
      <c r="J87" s="3"/>
      <c r="K87" s="3"/>
      <c r="L87" s="3"/>
      <c r="M87" s="3"/>
      <c r="N87" s="3"/>
      <c r="O87" s="33"/>
      <c r="P87" s="2"/>
      <c r="Q87" s="18"/>
    </row>
    <row r="88" spans="1:17" s="4" customFormat="1" ht="21.95" customHeight="1" x14ac:dyDescent="0.2">
      <c r="A88" s="11"/>
      <c r="B88" s="38" t="s">
        <v>73</v>
      </c>
      <c r="C88" s="61" t="s">
        <v>4</v>
      </c>
      <c r="D88" s="35" t="s">
        <v>5</v>
      </c>
      <c r="E88" s="35" t="s">
        <v>6</v>
      </c>
      <c r="F88" s="35" t="s">
        <v>7</v>
      </c>
      <c r="G88" s="35" t="s">
        <v>8</v>
      </c>
      <c r="H88" s="35" t="s">
        <v>9</v>
      </c>
      <c r="I88" s="35" t="s">
        <v>10</v>
      </c>
      <c r="J88" s="35" t="s">
        <v>11</v>
      </c>
      <c r="K88" s="35" t="s">
        <v>12</v>
      </c>
      <c r="L88" s="35" t="s">
        <v>13</v>
      </c>
      <c r="M88" s="35" t="s">
        <v>14</v>
      </c>
      <c r="N88" s="35" t="s">
        <v>15</v>
      </c>
      <c r="O88" s="29" t="s">
        <v>16</v>
      </c>
      <c r="P88" s="28" t="s">
        <v>0</v>
      </c>
      <c r="Q88" s="2"/>
    </row>
    <row r="89" spans="1:17" s="4" customFormat="1" ht="30" customHeight="1" x14ac:dyDescent="0.2">
      <c r="A89" s="11"/>
      <c r="B89" s="42" t="s">
        <v>74</v>
      </c>
      <c r="C89" s="58"/>
      <c r="D89" s="12"/>
      <c r="E89" s="75"/>
      <c r="F89" s="12"/>
      <c r="G89" s="12"/>
      <c r="H89" s="12"/>
      <c r="I89" s="12"/>
      <c r="J89" s="12"/>
      <c r="K89" s="12"/>
      <c r="L89" s="12"/>
      <c r="M89" s="12"/>
      <c r="N89" s="12"/>
      <c r="O89" s="29" t="s">
        <v>16</v>
      </c>
      <c r="P89" s="13"/>
      <c r="Q89" s="2"/>
    </row>
    <row r="90" spans="1:17" s="4" customFormat="1" ht="22.15" customHeight="1" x14ac:dyDescent="0.2">
      <c r="A90" s="11"/>
      <c r="B90" s="42" t="s">
        <v>75</v>
      </c>
      <c r="C90" s="58"/>
      <c r="D90" s="12"/>
      <c r="E90" s="12"/>
      <c r="F90" s="12"/>
      <c r="G90" s="12"/>
      <c r="H90" s="12"/>
      <c r="I90" s="12"/>
      <c r="J90" s="12"/>
      <c r="K90" s="12"/>
      <c r="L90" s="12"/>
      <c r="M90" s="12"/>
      <c r="N90" s="12"/>
      <c r="O90" s="30">
        <f>SUM(tblMisc[[#This Row],[JAN]:[DEC]])</f>
      </c>
      <c r="P90" s="13"/>
      <c r="Q90" s="2"/>
    </row>
    <row r="91" spans="1:17" s="4" customFormat="1" ht="22.15" customHeight="1" x14ac:dyDescent="0.2">
      <c r="A91" s="11"/>
      <c r="B91" s="42" t="s">
        <v>74</v>
      </c>
      <c r="C91" s="58"/>
      <c r="D91" s="12"/>
      <c r="E91" s="12"/>
      <c r="F91" s="12"/>
      <c r="G91" s="12"/>
      <c r="H91" s="12"/>
      <c r="I91" s="12"/>
      <c r="J91" s="12"/>
      <c r="K91" s="12"/>
      <c r="L91" s="12"/>
      <c r="M91" s="12"/>
      <c r="N91" s="12"/>
      <c r="O91" s="30">
        <f>SUM(tblMisc[[#This Row],[JAN]:[DEC]])</f>
      </c>
      <c r="P91" s="13"/>
      <c r="Q91" s="2"/>
    </row>
    <row r="92" spans="1:17" s="4" customFormat="1" ht="22.15" customHeight="1" x14ac:dyDescent="0.2">
      <c r="A92" s="11"/>
      <c r="B92" s="42" t="s">
        <v>74</v>
      </c>
      <c r="C92" s="58"/>
      <c r="D92" s="12"/>
      <c r="E92" s="12"/>
      <c r="F92" s="12"/>
      <c r="G92" s="12"/>
      <c r="H92" s="12"/>
      <c r="I92" s="12"/>
      <c r="J92" s="12"/>
      <c r="K92" s="12"/>
      <c r="L92" s="12"/>
      <c r="M92" s="12"/>
      <c r="N92" s="12"/>
      <c r="O92" s="30">
        <f>SUM(tblMisc[[#This Row],[JAN]:[DEC]])</f>
      </c>
      <c r="P92" s="13"/>
      <c r="Q92" s="2"/>
    </row>
    <row r="93" spans="1:17" s="4" customFormat="1" ht="22.15" customHeight="1" x14ac:dyDescent="0.2">
      <c r="A93" s="11"/>
      <c r="B93" s="42" t="s">
        <v>74</v>
      </c>
      <c r="C93" s="58"/>
      <c r="D93" s="12"/>
      <c r="E93" s="12"/>
      <c r="F93" s="12"/>
      <c r="G93" s="12"/>
      <c r="H93" s="12"/>
      <c r="I93" s="12"/>
      <c r="J93" s="12"/>
      <c r="K93" s="12"/>
      <c r="L93" s="12"/>
      <c r="M93" s="12"/>
      <c r="N93" s="81"/>
      <c r="O93" s="30">
        <f>SUM(tblMisc[[#This Row],[JAN]:[DEC]])</f>
      </c>
      <c r="P93" s="13"/>
      <c r="Q93" s="2"/>
    </row>
    <row r="94" spans="1:17" ht="22.15" customHeight="1" x14ac:dyDescent="0.2">
      <c r="B94" s="39" t="s">
        <v>23</v>
      </c>
      <c r="C94" s="58">
        <f>SUBTOTAL(109,tblMisc[JAN])</f>
      </c>
      <c r="D94" s="12">
        <f>SUBTOTAL(109,tblMisc[FEB])</f>
      </c>
      <c r="E94" s="12">
        <f>SUBTOTAL(109,tblMisc[MAR])</f>
      </c>
      <c r="F94" s="12">
        <f>SUBTOTAL(109,tblMisc[APR])</f>
      </c>
      <c r="G94" s="12">
        <f>SUBTOTAL(109,tblMisc[MAY])</f>
      </c>
      <c r="H94" s="12">
        <f>SUBTOTAL(109,tblMisc[JUN])-1129.98</f>
      </c>
      <c r="I94" s="12">
        <f>SUBTOTAL(109,tblMisc[JUL])</f>
      </c>
      <c r="J94" s="12">
        <f>SUBTOTAL(109,tblMisc[AUG])</f>
      </c>
      <c r="K94" s="12">
        <f>SUBTOTAL(109,tblMisc[SEP])</f>
      </c>
      <c r="L94" s="12">
        <f>SUBTOTAL(109,tblMisc[OCT])</f>
      </c>
      <c r="M94" s="12">
        <f>SUBTOTAL(109,tblMisc[NOV])</f>
      </c>
      <c r="N94" s="12">
        <f>SUBTOTAL(109,tblMisc[DEC])</f>
      </c>
      <c r="O94" s="30">
        <f>SUBTOTAL(109,tblMisc[YEAR])</f>
      </c>
      <c r="P94" s="14"/>
    </row>
    <row r="95" spans="1:17" s="20" customFormat="1" ht="22.15" customHeight="1" x14ac:dyDescent="0.45">
      <c r="A95" s="17"/>
      <c r="B95" s="41"/>
      <c r="C95" s="63"/>
      <c r="D95" s="3"/>
      <c r="E95" s="3"/>
      <c r="F95" s="3"/>
      <c r="G95" s="3"/>
      <c r="H95" s="3"/>
      <c r="I95" s="3"/>
      <c r="J95" s="3"/>
      <c r="K95" s="3"/>
      <c r="L95" s="3"/>
      <c r="M95" s="3"/>
      <c r="N95" s="3"/>
      <c r="O95" s="33"/>
      <c r="P95" s="2"/>
      <c r="Q95" s="18"/>
    </row>
    <row r="96" spans="1:17" s="4" customFormat="1" ht="21.95" customHeight="1" x14ac:dyDescent="0.2">
      <c r="A96" s="11"/>
      <c r="B96" s="43" t="s">
        <v>77</v>
      </c>
      <c r="C96" s="64" t="s">
        <v>4</v>
      </c>
      <c r="D96" s="46" t="s">
        <v>5</v>
      </c>
      <c r="E96" s="45" t="s">
        <v>6</v>
      </c>
      <c r="F96" s="46" t="s">
        <v>7</v>
      </c>
      <c r="G96" s="45" t="s">
        <v>8</v>
      </c>
      <c r="H96" s="46" t="s">
        <v>9</v>
      </c>
      <c r="I96" s="45" t="s">
        <v>10</v>
      </c>
      <c r="J96" s="46" t="s">
        <v>11</v>
      </c>
      <c r="K96" s="45" t="s">
        <v>12</v>
      </c>
      <c r="L96" s="46" t="s">
        <v>13</v>
      </c>
      <c r="M96" s="45" t="s">
        <v>14</v>
      </c>
      <c r="N96" s="46" t="s">
        <v>15</v>
      </c>
      <c r="O96" s="45" t="s">
        <v>16</v>
      </c>
      <c r="P96" s="22" t="s">
        <v>0</v>
      </c>
      <c r="Q96" s="2"/>
    </row>
    <row r="97" spans="1:17" s="4" customFormat="1" ht="30" customHeight="1" x14ac:dyDescent="0.2">
      <c r="A97" s="11"/>
      <c r="B97" s="44" t="s">
        <v>78</v>
      </c>
      <c r="C97" s="65">
        <f>SUM(tblMisc[[#Totals],[JAN]],tblFinancial[[#Totals],[JAN]],tblPersonal[[#Totals],[JAN]],tblDues[[#Totals],[JAN]],tblRecreation[[#Totals],[JAN]],tblVacations[[#Totals],[JAN]],tblHealth[[#Totals],[JAN]],tblEntertainment[[#Totals],[JAN]],tblTransportation[[#Totals],[JAN]],tblDaily[[#Totals],[JAN]],tblHome[[#Totals],[JAN]])</f>
      </c>
      <c r="D97" s="6">
        <f>SUM(tblMisc[[#Totals],[FEB]],tblFinancial[[#Totals],[FEB]],tblPersonal[[#Totals],[FEB]],tblDues[[#Totals],[FEB]],tblRecreation[[#Totals],[FEB]],tblVacations[[#Totals],[FEB]],tblHealth[[#Totals],[FEB]],tblEntertainment[[#Totals],[FEB]],tblTransportation[[#Totals],[FEB]],tblDaily[[#Totals],[FEB]],tblHome[[#Totals],[FEB]])</f>
      </c>
      <c r="E97" s="5">
        <f>SUM(tblMisc[[#Totals],[MAR]],tblFinancial[[#Totals],[MAR]],tblPersonal[[#Totals],[MAR]],tblDues[[#Totals],[MAR]],tblRecreation[[#Totals],[MAR]],tblVacations[[#Totals],[MAR]],tblHealth[[#Totals],[MAR]],tblEntertainment[[#Totals],[MAR]],tblTransportation[[#Totals],[MAR]],tblDaily[[#Totals],[MAR]],tblHome[[#Totals],[MAR]])</f>
      </c>
      <c r="F97" s="6">
        <f>SUM(tblMisc[[#Totals],[APR]],tblFinancial[[#Totals],[APR]],tblPersonal[[#Totals],[APR]],tblDues[[#Totals],[APR]],tblRecreation[[#Totals],[APR]],tblVacations[[#Totals],[APR]],tblHealth[[#Totals],[APR]],tblEntertainment[[#Totals],[APR]],tblTransportation[[#Totals],[APR]],tblDaily[[#Totals],[APR]],tblHome[[#Totals],[APR]])</f>
      </c>
      <c r="G97" s="5">
        <f>SUM(tblMisc[[#Totals],[MAY]],tblFinancial[[#Totals],[MAY]],tblPersonal[[#Totals],[MAY]],tblDues[[#Totals],[MAY]],tblRecreation[[#Totals],[MAY]],tblVacations[[#Totals],[MAY]],tblHealth[[#Totals],[MAY]],tblEntertainment[[#Totals],[MAY]],tblTransportation[[#Totals],[MAY]],tblDaily[[#Totals],[MAY]],tblHome[[#Totals],[MAY]])</f>
      </c>
      <c r="H97" s="6">
        <f>SUM(tblMisc[[#Totals],[JUN]],tblFinancial[[#Totals],[JUN]],tblPersonal[[#Totals],[JUN]],tblDues[[#Totals],[JUN]],tblRecreation[[#Totals],[JUN]],tblVacations[[#Totals],[JUN]],tblHealth[[#Totals],[JUN]],tblEntertainment[[#Totals],[JUN]],tblTransportation[[#Totals],[JUN]],tblDaily[[#Totals],[JUN]],tblHome[[#Totals],[JUN]])</f>
      </c>
      <c r="I97" s="5">
        <f>SUM(tblMisc[[#Totals],[JUL]],tblFinancial[[#Totals],[JUL]],tblPersonal[[#Totals],[JUL]],tblDues[[#Totals],[JUL]],tblRecreation[[#Totals],[JUL]],tblVacations[[#Totals],[JUL]],tblHealth[[#Totals],[JUL]],tblEntertainment[[#Totals],[JUL]],tblTransportation[[#Totals],[JUL]],tblDaily[[#Totals],[JUL]],tblHome[[#Totals],[JUL]])</f>
      </c>
      <c r="J97" s="6">
        <f>SUM(tblMisc[[#Totals],[AUG]],tblFinancial[[#Totals],[AUG]],tblPersonal[[#Totals],[AUG]],tblDues[[#Totals],[AUG]],tblRecreation[[#Totals],[AUG]],tblVacations[[#Totals],[AUG]],tblHealth[[#Totals],[AUG]],tblEntertainment[[#Totals],[AUG]],tblTransportation[[#Totals],[AUG]],tblDaily[[#Totals],[AUG]],tblHome[[#Totals],[AUG]])</f>
      </c>
      <c r="K97" s="5">
        <f>SUM(tblMisc[[#Totals],[SEP]],tblFinancial[[#Totals],[SEP]],tblPersonal[[#Totals],[SEP]],tblDues[[#Totals],[SEP]],tblRecreation[[#Totals],[SEP]],tblVacations[[#Totals],[SEP]],tblHealth[[#Totals],[SEP]],tblEntertainment[[#Totals],[SEP]],tblTransportation[[#Totals],[SEP]],tblDaily[[#Totals],[SEP]],tblHome[[#Totals],[SEP]])</f>
      </c>
      <c r="L97" s="6">
        <f>SUM(tblMisc[[#Totals],[OCT]],tblFinancial[[#Totals],[OCT]],tblPersonal[[#Totals],[OCT]],tblDues[[#Totals],[OCT]],tblRecreation[[#Totals],[OCT]],tblVacations[[#Totals],[OCT]],tblHealth[[#Totals],[OCT]],tblEntertainment[[#Totals],[OCT]],tblTransportation[[#Totals],[OCT]],tblDaily[[#Totals],[OCT]],tblHome[[#Totals],[OCT]])</f>
      </c>
      <c r="M97" s="5">
        <f>SUM(tblMisc[[#Totals],[NOV]],tblFinancial[[#Totals],[NOV]],tblPersonal[[#Totals],[NOV]],tblDues[[#Totals],[NOV]],tblRecreation[[#Totals],[NOV]],tblVacations[[#Totals],[NOV]],tblHealth[[#Totals],[NOV]],tblEntertainment[[#Totals],[NOV]],tblTransportation[[#Totals],[NOV]],tblDaily[[#Totals],[NOV]],tblHome[[#Totals],[NOV]])</f>
      </c>
      <c r="N97" s="6">
        <f>SUM(tblMisc[[#Totals],[DEC]],tblFinancial[[#Totals],[DEC]],tblPersonal[[#Totals],[DEC]],tblDues[[#Totals],[DEC]],tblRecreation[[#Totals],[DEC]],tblVacations[[#Totals],[DEC]],tblHealth[[#Totals],[DEC]],tblEntertainment[[#Totals],[DEC]],tblTransportation[[#Totals],[DEC]],tblDaily[[#Totals],[DEC]],tblHome[[#Totals],[DEC]])</f>
      </c>
      <c r="O97" s="34">
        <f>SUM(tblMisc[[#Totals],[YEAR]],tblFinancial[[#Totals],[YEAR]],tblPersonal[[#Totals],[YEAR]],tblDues[[#Totals],[YEAR]],tblRecreation[[#Totals],[YEAR]],tblVacations[[#Totals],[YEAR]],tblHealth[[#Totals],[YEAR]],tblEntertainment[[#Totals],[YEAR]],tblTransportation[[#Totals],[YEAR]],tblDaily[[#Totals],[YEAR]],tblHome[[#Totals],[YEAR]])</f>
      </c>
      <c r="P97" s="7"/>
      <c r="Q97" s="2"/>
    </row>
    <row r="98" spans="1:17" s="4" customFormat="1" ht="22.15" customHeight="1" x14ac:dyDescent="0.2">
      <c r="A98" s="11"/>
      <c r="B98" s="44" t="s">
        <v>79</v>
      </c>
      <c r="C98" s="65">
        <f>tblIncome[[#Totals],[JAN]]-C97</f>
      </c>
      <c r="D98" s="6">
        <f>tblIncome[[#Totals],[FEB]]-D97</f>
      </c>
      <c r="E98" s="5">
        <f>tblIncome[[#Totals],[MAR]]-E97</f>
      </c>
      <c r="F98" s="6">
        <f>tblIncome[[#Totals],[APR]]-F97</f>
      </c>
      <c r="G98" s="5">
        <f>tblIncome[[#Totals],[MAY]]-G97</f>
      </c>
      <c r="H98" s="6">
        <f>tblIncome[[#Totals],[JUN]]-H97</f>
      </c>
      <c r="I98" s="5">
        <f>tblIncome[[#Totals],[JUL]]-I97</f>
      </c>
      <c r="J98" s="6">
        <f>tblIncome[[#Totals],[AUG]]-J97</f>
      </c>
      <c r="K98" s="5">
        <f>tblIncome[[#Totals],[SEP]]-K97</f>
      </c>
      <c r="L98" s="6">
        <f>tblIncome[[#Totals],[OCT]]-L97</f>
      </c>
      <c r="M98" s="5">
        <f>tblIncome[[#Totals],[NOV]]-M97</f>
      </c>
      <c r="N98" s="6">
        <f>tblIncome[[#Totals],[DEC]]-N97</f>
      </c>
      <c r="O98" s="34">
        <f>tblIncome[[#Totals],[YEAR]]-O97</f>
      </c>
      <c r="P98" s="7"/>
      <c r="Q98" s="2"/>
    </row>
    <row r="99" spans="1:17" s="4" customFormat="1" ht="22.15" customHeight="1" x14ac:dyDescent="0.2">
      <c r="A99" s="11"/>
      <c r="B99" s="55" t="s">
        <v>80</v>
      </c>
      <c r="C99" s="68">
        <v>2700</v>
      </c>
      <c r="D99" s="73">
        <f>(2360.13+2186.48+240)-2700</f>
        <v>2086.6100000000006</v>
      </c>
      <c r="E99" s="10">
        <f>(917.76+7108.59)-(2700+2086.61)</f>
        <v>3239.74</v>
      </c>
      <c r="F99" s="10"/>
      <c r="G99" s="10"/>
      <c r="H99" s="10"/>
      <c r="I99" s="10"/>
      <c r="J99" s="10"/>
      <c r="K99" s="10"/>
      <c r="L99" s="10"/>
      <c r="M99" s="10"/>
      <c r="N99" s="10"/>
      <c r="O99" s="10"/>
      <c r="P99" s="9"/>
      <c r="Q99" s="2"/>
    </row>
    <row r="100" spans="1:17" s="4" customFormat="1" ht="22.15" customHeight="1" x14ac:dyDescent="0.2">
      <c r="A100" s="11"/>
      <c r="B100" s="9"/>
      <c r="C100" s="9"/>
      <c r="D100" s="10"/>
      <c r="E100" s="10"/>
      <c r="F100" s="10"/>
      <c r="G100" s="10"/>
      <c r="H100" s="10"/>
      <c r="I100" s="10"/>
      <c r="J100" s="10"/>
      <c r="K100" s="10"/>
      <c r="L100" s="10"/>
      <c r="M100" s="10"/>
      <c r="N100" s="10"/>
      <c r="O100" s="10"/>
      <c r="P100" s="9"/>
      <c r="Q100" s="2"/>
    </row>
    <row r="101" spans="1:17" s="4" customFormat="1" ht="22.15" customHeight="1" x14ac:dyDescent="0.2">
      <c r="A101" s="11"/>
      <c r="B101" s="9"/>
      <c r="C101" s="9"/>
      <c r="D101" s="10"/>
      <c r="E101" s="10"/>
      <c r="F101" s="10"/>
      <c r="G101" s="10"/>
      <c r="H101" s="10"/>
      <c r="I101" s="10"/>
      <c r="J101" s="10"/>
      <c r="K101" s="10"/>
      <c r="L101" s="10"/>
      <c r="M101" s="10"/>
      <c r="N101" s="10"/>
      <c r="O101" s="10"/>
      <c r="P101" s="9"/>
      <c r="Q101" s="2"/>
    </row>
    <row r="102" spans="1:17" ht="22.15" customHeight="1" x14ac:dyDescent="0.2">
      <c r="C102" s="9"/>
    </row>
    <row r="103" spans="1:17" s="21" customFormat="1" ht="22.15" customHeight="1" x14ac:dyDescent="0.45">
      <c r="A103" s="15"/>
      <c r="B103" s="9"/>
      <c r="C103" s="10"/>
      <c r="D103" s="10"/>
      <c r="E103" s="10"/>
      <c r="F103" s="10"/>
      <c r="G103" s="10"/>
      <c r="H103" s="10"/>
      <c r="I103" s="10"/>
      <c r="J103" s="10"/>
      <c r="K103" s="10"/>
      <c r="L103" s="10"/>
      <c r="M103" s="10"/>
      <c r="N103" s="10"/>
      <c r="O103" s="10"/>
      <c r="P103" s="9"/>
      <c r="Q103" s="16"/>
    </row>
    <row r="105" spans="1:17" ht="30" customHeight="1" x14ac:dyDescent="0.2"/>
    <row r="109" spans="1:17" ht="21.95" customHeight="1" x14ac:dyDescent="0.2">
      <c r="A109" s="9"/>
    </row>
    <row r="110" spans="1:17" ht="21.95" customHeight="1" x14ac:dyDescent="0.2">
      <c r="A110" s="9"/>
    </row>
    <row r="114" spans="1:13" ht="21.95" customHeight="1" x14ac:dyDescent="0.2">
      <c r="B114" s="52" t="s">
        <v>31</v>
      </c>
      <c r="C114" s="53"/>
      <c r="G114" s="53"/>
      <c r="H114" s="54" t="s">
        <v>81</v>
      </c>
      <c r="I114" s="53" t="s">
        <v>82</v>
      </c>
      <c r="J114" s="53" t="s">
        <v>83</v>
      </c>
      <c r="K114" s="53"/>
      <c r="L114" s="53"/>
      <c r="M114" s="53"/>
    </row>
    <row r="115" spans="1:13" ht="21.95" customHeight="1" x14ac:dyDescent="0.2">
      <c r="A115" s="8" t="s">
        <v>84</v>
      </c>
      <c r="B115" s="82">
        <v>19.71</v>
      </c>
      <c r="H115" s="57"/>
      <c r="I115" s="57">
        <v>30</v>
      </c>
      <c r="J115" s="66"/>
      <c r="K115" s="57"/>
      <c r="L115" s="57"/>
    </row>
    <row r="116" spans="1:13" ht="21.95" customHeight="1" x14ac:dyDescent="0.2">
      <c r="B116" s="55">
        <v>0.67</v>
      </c>
      <c r="H116" s="57"/>
      <c r="I116" s="57"/>
      <c r="J116" s="66"/>
      <c r="K116" s="57"/>
      <c r="L116" s="57"/>
    </row>
    <row r="117" spans="1:13" ht="21.95" customHeight="1" x14ac:dyDescent="0.2">
      <c r="A117" s="8" t="s">
        <v>85</v>
      </c>
      <c r="B117" s="82">
        <v>72.09</v>
      </c>
      <c r="H117" s="57"/>
      <c r="I117" s="57"/>
      <c r="J117" s="66"/>
      <c r="K117" s="57"/>
      <c r="L117" s="57"/>
    </row>
    <row r="118" spans="1:13" ht="21.95" customHeight="1" x14ac:dyDescent="0.2">
      <c r="A118" s="8" t="s">
        <v>86</v>
      </c>
      <c r="B118" s="82">
        <v>25.76</v>
      </c>
      <c r="H118" s="57"/>
      <c r="I118" s="57"/>
      <c r="J118" s="66"/>
      <c r="K118" s="57"/>
      <c r="L118" s="57"/>
    </row>
    <row r="119" spans="1:13" ht="21.95" customHeight="1" x14ac:dyDescent="0.2">
      <c r="A119" s="8" t="s">
        <v>87</v>
      </c>
      <c r="B119" s="82">
        <v>249.23</v>
      </c>
      <c r="H119" s="57"/>
      <c r="I119" s="57"/>
      <c r="J119" s="66"/>
      <c r="K119" s="57"/>
      <c r="L119" s="57"/>
    </row>
    <row r="120" spans="1:13" ht="21.95" customHeight="1" x14ac:dyDescent="0.2">
      <c r="A120" s="8" t="s">
        <v>88</v>
      </c>
      <c r="B120" s="82">
        <v>3.9</v>
      </c>
      <c r="H120" s="57"/>
      <c r="I120" s="57"/>
      <c r="J120" s="66"/>
      <c r="K120" s="57"/>
      <c r="L120" s="57"/>
    </row>
    <row r="121" spans="1:13" ht="21.95" customHeight="1" x14ac:dyDescent="0.2">
      <c r="A121" s="8" t="s">
        <v>89</v>
      </c>
      <c r="B121" s="82">
        <v>18.91</v>
      </c>
      <c r="H121" s="57"/>
      <c r="I121" s="57"/>
      <c r="J121" s="57"/>
      <c r="K121" s="57"/>
      <c r="L121" s="57"/>
    </row>
    <row r="122" spans="1:13" ht="21.95" customHeight="1" x14ac:dyDescent="0.2">
      <c r="A122" s="8" t="s">
        <v>90</v>
      </c>
      <c r="B122" s="82">
        <v>6.29</v>
      </c>
      <c r="H122" s="57"/>
      <c r="I122" s="57"/>
      <c r="J122" s="57"/>
      <c r="K122" s="57"/>
      <c r="L122" s="57"/>
    </row>
    <row r="123" spans="1:13" ht="21.95" customHeight="1" x14ac:dyDescent="0.2">
      <c r="A123" s="8" t="s">
        <v>88</v>
      </c>
      <c r="B123" s="82">
        <v>12.74</v>
      </c>
      <c r="H123" s="57"/>
      <c r="I123" s="57"/>
      <c r="J123" s="57"/>
      <c r="K123" s="57"/>
      <c r="L123" s="57"/>
    </row>
    <row r="124" spans="1:13" ht="21.95" customHeight="1" x14ac:dyDescent="0.2">
      <c r="A124" s="80" t="s">
        <v>91</v>
      </c>
      <c r="B124" s="82">
        <v>34.4</v>
      </c>
      <c r="H124" s="57"/>
      <c r="I124" s="57"/>
      <c r="J124" s="57"/>
      <c r="K124" s="57"/>
      <c r="L124" s="57"/>
    </row>
    <row r="125" spans="1:13" ht="21.95" customHeight="1" x14ac:dyDescent="0.2">
      <c r="A125" s="8" t="s">
        <v>92</v>
      </c>
      <c r="B125" s="56"/>
      <c r="H125" s="57"/>
      <c r="I125" s="57"/>
      <c r="J125" s="57"/>
      <c r="K125" s="57"/>
      <c r="L125" s="57"/>
    </row>
    <row r="126" spans="1:13" ht="21.95" customHeight="1" x14ac:dyDescent="0.2">
      <c r="A126" s="8" t="s">
        <v>93</v>
      </c>
      <c r="B126" s="82">
        <v>36.47</v>
      </c>
      <c r="H126" s="57"/>
      <c r="I126" s="57"/>
      <c r="J126" s="57"/>
      <c r="K126" s="57"/>
      <c r="L126" s="57"/>
    </row>
    <row r="127" spans="1:13" ht="21.95" customHeight="1" x14ac:dyDescent="0.2">
      <c r="A127" s="8" t="s">
        <v>89</v>
      </c>
      <c r="B127" s="82">
        <v>48.55</v>
      </c>
      <c r="H127" s="57"/>
      <c r="I127" s="57"/>
      <c r="J127" s="57"/>
      <c r="K127" s="57"/>
      <c r="L127" s="57"/>
    </row>
    <row r="128" spans="1:13" ht="21.95" customHeight="1" x14ac:dyDescent="0.2">
      <c r="A128" s="8" t="s">
        <v>84</v>
      </c>
      <c r="B128" s="82">
        <v>27.75</v>
      </c>
      <c r="H128" s="57"/>
      <c r="I128" s="57"/>
      <c r="J128" s="57"/>
      <c r="K128" s="57"/>
      <c r="L128" s="57"/>
    </row>
    <row r="129" spans="1:12" ht="21.95" customHeight="1" x14ac:dyDescent="0.2">
      <c r="A129" s="8" t="s">
        <v>94</v>
      </c>
      <c r="B129" s="56"/>
      <c r="H129" s="57"/>
      <c r="I129" s="57"/>
      <c r="J129" s="57"/>
      <c r="K129" s="57"/>
      <c r="L129" s="57"/>
    </row>
    <row r="130" spans="1:12" ht="21.95" customHeight="1" x14ac:dyDescent="0.2">
      <c r="B130" s="82">
        <v>19.170000000000002</v>
      </c>
      <c r="H130" s="57"/>
      <c r="I130" s="57"/>
      <c r="J130" s="57"/>
      <c r="K130" s="57"/>
      <c r="L130" s="57"/>
    </row>
    <row r="131" spans="1:12" ht="21.95" customHeight="1" x14ac:dyDescent="0.2">
      <c r="B131" s="82">
        <v>5.09</v>
      </c>
      <c r="H131" s="57"/>
      <c r="I131" s="57"/>
      <c r="J131" s="57"/>
      <c r="K131" s="57"/>
      <c r="L131" s="57"/>
    </row>
    <row r="132" spans="1:12" ht="21.95" customHeight="1" x14ac:dyDescent="0.2">
      <c r="B132" s="56">
        <v>18.920000000000002</v>
      </c>
      <c r="H132" s="57"/>
      <c r="I132" s="57"/>
      <c r="J132" s="57"/>
      <c r="K132" s="57"/>
      <c r="L132" s="57"/>
    </row>
    <row r="133" spans="1:12" ht="21.95" customHeight="1" x14ac:dyDescent="0.2">
      <c r="B133" s="56">
        <v>25.97</v>
      </c>
      <c r="H133" s="57"/>
      <c r="I133" s="57"/>
      <c r="J133" s="57"/>
      <c r="K133" s="57"/>
      <c r="L133" s="57"/>
    </row>
    <row r="134" spans="1:12" ht="21.95" customHeight="1" x14ac:dyDescent="0.2">
      <c r="B134" s="56">
        <v>84.6</v>
      </c>
      <c r="H134" s="57"/>
      <c r="I134" s="57"/>
      <c r="J134" s="57"/>
      <c r="K134" s="57"/>
      <c r="L134" s="57"/>
    </row>
    <row r="135" spans="1:12" ht="21.95" customHeight="1" x14ac:dyDescent="0.2">
      <c r="B135" s="55" t="s">
        <v>95</v>
      </c>
      <c r="D135" s="79">
        <f>SUM(B115:B134)</f>
        <v>710.21999999999991</v>
      </c>
      <c r="F135" s="51"/>
      <c r="G135" s="51"/>
      <c r="H135" s="51">
        <f>SUM(I115:I134)</f>
        <v>30</v>
      </c>
    </row>
    <row r="159" spans="2:2" ht="21.95" customHeight="1" x14ac:dyDescent="0.2">
      <c r="B159" s="55" t="s">
        <v>96</v>
      </c>
    </row>
    <row r="160" spans="2:2" ht="21.95" customHeight="1" x14ac:dyDescent="0.2">
      <c r="B160" s="67">
        <v>3541.67</v>
      </c>
    </row>
    <row r="161" spans="2:2" ht="21.95" customHeight="1" x14ac:dyDescent="0.2">
      <c r="B161" s="67">
        <v>1724.46</v>
      </c>
    </row>
  </sheetData>
  <mergeCells count="1">
    <mergeCell ref="B2:P2"/>
  </mergeCells>
  <conditionalFormatting sqref="C98:O98">
    <cfRule type="cellIs" dxfId="0" priority="1" operator="lessThan">
      <formula>0</formula>
    </cfRule>
  </conditionalFormatting>
  <dataValidations disablePrompts="1" count="1">
    <dataValidation allowBlank="1" showInputMessage="1" showErrorMessage="1" prompt="Manage your personal budget using this spreadsheet. Enter your income and expenses details in the tables below. Totals for each table are auto calculated. Summary for income vs total expenses starts at row 105._x000a_" sqref="A1" xr:uid="{F32C70B7-BEBC-4556-9D21-8DD3A3533DF2}"/>
  </dataValidations>
  <printOptions horizontalCentered="1"/>
  <pageMargins left="0.25" right="0.25" top="0.75" bottom="0.75" header="0.3" footer="0.3"/>
  <pageSetup fitToHeight="0" orientation="landscape" r:id="rId1"/>
  <headerFooter differentFirst="1"/>
  <ignoredErrors>
    <ignoredError sqref="C97:O97" calculatedColumn="1"/>
  </ignoredErrors>
  <legacy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extLst>
    <ext xmlns:x14="http://schemas.microsoft.com/office/spreadsheetml/2009/9/main" uri="{05C60535-1F16-4fd2-B633-F4F36F0B64E0}">
      <x14:sparklineGroups xmlns:xm="http://schemas.microsoft.com/office/excel/2006/main">
        <x14:sparklineGroup displayEmptyCellsAs="gap" high="1" low="1" xr2:uid="{00000000-0003-0000-0000-000008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BUDGET'!C68:N68</xm:f>
              <xm:sqref>P68</xm:sqref>
            </x14:sparkline>
            <x14:sparkline>
              <xm:f>'PERSONAL BUDGET'!C69:N69</xm:f>
              <xm:sqref>P69</xm:sqref>
            </x14:sparkline>
            <x14:sparkline>
              <xm:f>'PERSONAL BUDGET'!C70:N70</xm:f>
              <xm:sqref>P70</xm:sqref>
            </x14:sparkline>
          </x14:sparklines>
        </x14:sparklineGroup>
        <x14:sparklineGroup displayEmptyCellsAs="gap" high="1" low="1" xr2:uid="{00000000-0003-0000-0000-000009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BUDGET'!C73:N73</xm:f>
              <xm:sqref>P73</xm:sqref>
            </x14:sparkline>
            <x14:sparkline>
              <xm:f>'PERSONAL BUDGET'!C74:N74</xm:f>
              <xm:sqref>P74</xm:sqref>
            </x14:sparkline>
            <x14:sparkline>
              <xm:f>'PERSONAL BUDGET'!C75:N75</xm:f>
              <xm:sqref>P75</xm:sqref>
            </x14:sparkline>
            <x14:sparkline>
              <xm:f>'PERSONAL BUDGET'!C76:N76</xm:f>
              <xm:sqref>P76</xm:sqref>
            </x14:sparkline>
            <x14:sparkline>
              <xm:f>'PERSONAL BUDGET'!C77:N77</xm:f>
              <xm:sqref>P77</xm:sqref>
            </x14:sparkline>
            <x14:sparkline>
              <xm:f>'PERSONAL BUDGET'!C78:N78</xm:f>
              <xm:sqref>P78</xm:sqref>
            </x14:sparkline>
          </x14:sparklines>
        </x14:sparklineGroup>
        <x14:sparklineGroup displayEmptyCellsAs="gap" high="1" low="1" xr2:uid="{00000000-0003-0000-0000-00000A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BUDGET'!C81:N81</xm:f>
              <xm:sqref>P81</xm:sqref>
            </x14:sparkline>
            <x14:sparkline>
              <xm:f>'PERSONAL BUDGET'!C82:N82</xm:f>
              <xm:sqref>P82</xm:sqref>
            </x14:sparkline>
            <x14:sparkline>
              <xm:f>'PERSONAL BUDGET'!C83:N83</xm:f>
              <xm:sqref>P83</xm:sqref>
            </x14:sparkline>
            <x14:sparkline>
              <xm:f>'PERSONAL BUDGET'!C84:N84</xm:f>
              <xm:sqref>P84</xm:sqref>
            </x14:sparkline>
            <x14:sparkline>
              <xm:f>'PERSONAL BUDGET'!C85:N85</xm:f>
              <xm:sqref>P85</xm:sqref>
            </x14:sparkline>
            <x14:sparkline>
              <xm:f>'PERSONAL BUDGET'!C86:N86</xm:f>
              <xm:sqref>P86</xm:sqref>
            </x14:sparkline>
          </x14:sparklines>
        </x14:sparklineGroup>
        <x14:sparklineGroup displayEmptyCellsAs="gap" markers="1" high="1" low="1" xr2:uid="{00000000-0003-0000-0000-00000B000000}">
          <x14:colorSeries theme="0"/>
          <x14:colorNegative theme="6"/>
          <x14:colorAxis rgb="FF000000"/>
          <x14:colorMarkers theme="0"/>
          <x14:colorFirst theme="5" tint="0.39997558519241921"/>
          <x14:colorLast theme="5" tint="0.39997558519241921"/>
          <x14:colorHigh theme="5"/>
          <x14:colorLow theme="5"/>
          <x14:sparklines>
            <x14:sparkline>
              <xm:f>'PERSONAL BUDGET'!C97:N97</xm:f>
              <xm:sqref>P97</xm:sqref>
            </x14:sparkline>
            <x14:sparkline>
              <xm:f>'PERSONAL BUDGET'!C98:N98</xm:f>
              <xm:sqref>P98</xm:sqref>
            </x14:sparkline>
          </x14:sparklines>
        </x14:sparklineGroup>
        <x14:sparklineGroup displayEmptyCellsAs="gap" high="1" low="1" xr2:uid="{00000000-0003-0000-0000-00000D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BUDGET'!C89:N89</xm:f>
              <xm:sqref>P89</xm:sqref>
            </x14:sparkline>
            <x14:sparkline>
              <xm:f>'PERSONAL BUDGET'!C90:N90</xm:f>
              <xm:sqref>P90</xm:sqref>
            </x14:sparkline>
            <x14:sparkline>
              <xm:f>'PERSONAL BUDGET'!C91:N91</xm:f>
              <xm:sqref>P91</xm:sqref>
            </x14:sparkline>
            <x14:sparkline>
              <xm:f>'PERSONAL BUDGET'!C92:N92</xm:f>
              <xm:sqref>P92</xm:sqref>
            </x14:sparkline>
            <x14:sparkline>
              <xm:f>'PERSONAL BUDGET'!C93:N93</xm:f>
              <xm:sqref>P93</xm:sqref>
            </x14:sparkline>
            <x14:sparkline>
              <xm:f>'PERSONAL BUDGET'!C94:N94</xm:f>
              <xm:sqref>P94</xm:sqref>
            </x14:sparkline>
          </x14:sparklines>
        </x14:sparklineGroup>
        <x14:sparklineGroup displayEmptyCellsAs="gap" high="1" low="1" xr2:uid="{00000000-0003-0000-0000-000007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BUDGET'!C61:N61</xm:f>
              <xm:sqref>P61</xm:sqref>
            </x14:sparkline>
            <x14:sparkline>
              <xm:f>'PERSONAL BUDGET'!C62:N62</xm:f>
              <xm:sqref>P62</xm:sqref>
            </x14:sparkline>
            <x14:sparkline>
              <xm:f>'PERSONAL BUDGET'!C63:N63</xm:f>
              <xm:sqref>P63</xm:sqref>
            </x14:sparkline>
            <x14:sparkline>
              <xm:f>'PERSONAL BUDGET'!C64:N64</xm:f>
              <xm:sqref>P64</xm:sqref>
            </x14:sparkline>
            <x14:sparkline>
              <xm:f>'PERSONAL BUDGET'!C65:N65</xm:f>
              <xm:sqref>P65</xm:sqref>
            </x14:sparkline>
          </x14:sparklines>
        </x14:sparklineGroup>
        <x14:sparklineGroup displayEmptyCellsAs="gap" high="1" low="1" xr2:uid="{00000000-0003-0000-0000-000006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BUDGET'!C52:N52</xm:f>
              <xm:sqref>P52</xm:sqref>
            </x14:sparkline>
            <x14:sparkline>
              <xm:f>'PERSONAL BUDGET'!C53:N53</xm:f>
              <xm:sqref>P53</xm:sqref>
            </x14:sparkline>
            <x14:sparkline>
              <xm:f>'PERSONAL BUDGET'!C54:N54</xm:f>
              <xm:sqref>P54</xm:sqref>
            </x14:sparkline>
            <x14:sparkline>
              <xm:f>'PERSONAL BUDGET'!C55:N55</xm:f>
              <xm:sqref>P55</xm:sqref>
            </x14:sparkline>
            <x14:sparkline>
              <xm:f>'PERSONAL BUDGET'!C56:N56</xm:f>
              <xm:sqref>P56</xm:sqref>
            </x14:sparkline>
            <x14:sparkline>
              <xm:f>'PERSONAL BUDGET'!C57:N57</xm:f>
              <xm:sqref>P57</xm:sqref>
            </x14:sparkline>
            <x14:sparkline>
              <xm:f>'PERSONAL BUDGET'!C58:N58</xm:f>
              <xm:sqref>P58</xm:sqref>
            </x14:sparkline>
          </x14:sparklines>
        </x14:sparklineGroup>
        <x14:sparklineGroup displayEmptyCellsAs="gap" high="1" low="1" xr2:uid="{00000000-0003-0000-0000-000005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BUDGET'!C46:N46</xm:f>
              <xm:sqref>P46</xm:sqref>
            </x14:sparkline>
            <x14:sparkline>
              <xm:f>'PERSONAL BUDGET'!C47:N47</xm:f>
              <xm:sqref>P47</xm:sqref>
            </x14:sparkline>
            <x14:sparkline>
              <xm:f>'PERSONAL BUDGET'!C48:N48</xm:f>
              <xm:sqref>P48</xm:sqref>
            </x14:sparkline>
            <x14:sparkline>
              <xm:f>'PERSONAL BUDGET'!C49:N49</xm:f>
              <xm:sqref>P49</xm:sqref>
            </x14:sparkline>
          </x14:sparklines>
        </x14:sparklineGroup>
        <x14:sparklineGroup displayEmptyCellsAs="gap" high="1" low="1" xr2:uid="{00000000-0003-0000-0000-000004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BUDGET'!C38:N38</xm:f>
              <xm:sqref>P38</xm:sqref>
            </x14:sparkline>
            <x14:sparkline>
              <xm:f>'PERSONAL BUDGET'!C39:N39</xm:f>
              <xm:sqref>P39</xm:sqref>
            </x14:sparkline>
            <x14:sparkline>
              <xm:f>'PERSONAL BUDGET'!C40:N40</xm:f>
              <xm:sqref>P40</xm:sqref>
            </x14:sparkline>
            <x14:sparkline>
              <xm:f>'PERSONAL BUDGET'!C41:N41</xm:f>
              <xm:sqref>P41</xm:sqref>
            </x14:sparkline>
            <x14:sparkline>
              <xm:f>'PERSONAL BUDGET'!C42:N42</xm:f>
              <xm:sqref>P42</xm:sqref>
            </x14:sparkline>
            <x14:sparkline>
              <xm:f>'PERSONAL BUDGET'!C43:N43</xm:f>
              <xm:sqref>P43</xm:sqref>
            </x14:sparkline>
          </x14:sparklines>
        </x14:sparklineGroup>
        <x14:sparklineGroup displayEmptyCellsAs="gap" high="1" low="1" xr2:uid="{00000000-0003-0000-0000-000003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BUDGET'!C29:N29</xm:f>
              <xm:sqref>P29</xm:sqref>
            </x14:sparkline>
            <x14:sparkline>
              <xm:f>'PERSONAL BUDGET'!C30:N30</xm:f>
              <xm:sqref>P30</xm:sqref>
            </x14:sparkline>
            <x14:sparkline>
              <xm:f>'PERSONAL BUDGET'!C31:N31</xm:f>
              <xm:sqref>P31</xm:sqref>
            </x14:sparkline>
            <x14:sparkline>
              <xm:f>'PERSONAL BUDGET'!C32:N32</xm:f>
              <xm:sqref>P32</xm:sqref>
            </x14:sparkline>
            <x14:sparkline>
              <xm:f>'PERSONAL BUDGET'!C33:N33</xm:f>
              <xm:sqref>P33</xm:sqref>
            </x14:sparkline>
            <x14:sparkline>
              <xm:f>'PERSONAL BUDGET'!C34:N34</xm:f>
              <xm:sqref>P34</xm:sqref>
            </x14:sparkline>
            <x14:sparkline>
              <xm:f>'PERSONAL BUDGET'!C35:N35</xm:f>
              <xm:sqref>P35</xm:sqref>
            </x14:sparkline>
          </x14:sparklines>
        </x14:sparklineGroup>
        <x14:sparklineGroup displayEmptyCellsAs="gap" high="1" low="1" xr2:uid="{00000000-0003-0000-0000-000002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BUDGET'!C22:N22</xm:f>
              <xm:sqref>P22</xm:sqref>
            </x14:sparkline>
            <x14:sparkline>
              <xm:f>'PERSONAL BUDGET'!C23:N23</xm:f>
              <xm:sqref>P23</xm:sqref>
            </x14:sparkline>
            <x14:sparkline>
              <xm:f>'PERSONAL BUDGET'!C24:N24</xm:f>
              <xm:sqref>P24</xm:sqref>
            </x14:sparkline>
            <x14:sparkline>
              <xm:f>'PERSONAL BUDGET'!C25:N25</xm:f>
              <xm:sqref>P25</xm:sqref>
            </x14:sparkline>
            <x14:sparkline>
              <xm:f>'PERSONAL BUDGET'!C26:N26</xm:f>
              <xm:sqref>P26</xm:sqref>
            </x14:sparkline>
          </x14:sparklines>
        </x14:sparklineGroup>
        <x14:sparklineGroup displayEmptyCellsAs="gap" high="1" low="1" xr2:uid="{00000000-0003-0000-00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BUDGET'!C15:N15</xm:f>
              <xm:sqref>P15</xm:sqref>
            </x14:sparkline>
            <x14:sparkline>
              <xm:f>'PERSONAL BUDGET'!C16:N16</xm:f>
              <xm:sqref>P16</xm:sqref>
            </x14:sparkline>
            <x14:sparkline>
              <xm:f>'PERSONAL BUDGET'!C17:N17</xm:f>
              <xm:sqref>P17</xm:sqref>
            </x14:sparkline>
            <x14:sparkline>
              <xm:f>'PERSONAL BUDGET'!C18:N18</xm:f>
              <xm:sqref>P18</xm:sqref>
            </x14:sparkline>
            <x14:sparkline>
              <xm:f>'PERSONAL BUDGET'!C19:N19</xm:f>
              <xm:sqref>P19</xm:sqref>
            </x14:sparkline>
          </x14:sparklines>
        </x14:sparklineGroup>
        <x14:sparklineGroup displayEmptyCellsAs="gap" high="1" low="1" xr2:uid="{00000000-0003-0000-0000-00000C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BUDGET'!C6:N6</xm:f>
              <xm:sqref>P6</xm:sqref>
            </x14:sparkline>
            <x14:sparkline>
              <xm:f>'PERSONAL BUDGET'!C7:N7</xm:f>
              <xm:sqref>P7</xm:sqref>
            </x14:sparkline>
            <x14:sparkline>
              <xm:f>'PERSONAL BUDGET'!C8:N8</xm:f>
              <xm:sqref>P8</xm:sqref>
            </x14:sparkline>
            <x14:sparkline>
              <xm:f>'PERSONAL BUDGET'!C9:N9</xm:f>
              <xm:sqref>P9</xm:sqref>
            </x14:sparkline>
            <x14:sparkline>
              <xm:f>'PERSONAL BUDGET'!C10:N10</xm:f>
              <xm:sqref>P10</xm:sqref>
            </x14:sparkline>
            <x14:sparkline>
              <xm:f>'PERSONAL BUDGET'!C11:N11</xm:f>
              <xm:sqref>P11</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4.xml>��
</file>

<file path=customXml/itemProps1.xml><?xml version="1.0" encoding="utf-8"?>
<ds:datastoreItem xmlns:ds="http://schemas.openxmlformats.org/officeDocument/2006/customXml" ds:itemID="{61C4CF09-E16C-491E-896B-59FA5BAACD58}">
  <ds:schemaRefs>
    <ds:schemaRef ds:uri="http://schemas.microsoft.com/sharepoint/v3/contenttype/forms"/>
  </ds:schemaRefs>
</ds:datastoreItem>
</file>

<file path=customXml/itemProps2.xml><?xml version="1.0" encoding="utf-8"?>
<ds:datastoreItem xmlns:ds="http://schemas.openxmlformats.org/officeDocument/2006/customXml" ds:itemID="{C5AF2BFB-A3F6-42EF-82A3-18ADC5F181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9016F9-7015-43E2-8C51-8C9B031A291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4.xml><?xml version="1.0" encoding="utf-8"?>
<ds:datastoreItem xmlns:ds="http://schemas.openxmlformats.org/officeDocument/2006/customXml" ds:itemID="{29B3BED1-60A0-4018-BE37-EAD27804B8FD}">
  <ds:schemaRefs>
    <ds:schemaRef ds:uri="http://schemas.microsoft.com/DataMashup"/>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TM04035483</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PERSONAL 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Adil Ouchtati</dc:creator>
  <cp:keywords/>
  <dc:description/>
  <cp:lastModifiedBy>Adil Ouchtati</cp:lastModifiedBy>
  <cp:revision/>
  <dcterms:created xsi:type="dcterms:W3CDTF">2023-08-15T09:07:42Z</dcterms:created>
  <dcterms:modified xsi:type="dcterms:W3CDTF">2026-08-25T00:31:48Z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